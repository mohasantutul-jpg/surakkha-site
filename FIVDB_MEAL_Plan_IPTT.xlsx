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9.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drawings/_rels/drawing1.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1. MEAL-RACI-DCP-Reporting" sheetId="2" state="visible" r:id="rId4"/>
    <sheet name="4. M&amp;E Calendar" sheetId="3" state="visible" r:id="rId5"/>
    <sheet name="5b. Dashboard" sheetId="4" state="visible" r:id="rId6"/>
    <sheet name="6. CFM Log Template" sheetId="5" state="visible" r:id="rId7"/>
    <sheet name="6b. Collective Feedback" sheetId="6" state="visible" r:id="rId8"/>
    <sheet name="6c. Target Breakdown" sheetId="7" state="visible" r:id="rId9"/>
    <sheet name="6d. Key Milestones" sheetId="8" state="visible" r:id="rId10"/>
    <sheet name="6e. Logframe" sheetId="9" state="visible" r:id="rId11"/>
    <sheet name="7. IPTT" sheetId="10" state="visible" r:id="rId12"/>
    <sheet name="8. Activity Tracker" sheetId="11" state="visible" r:id="rId13"/>
    <sheet name="10. Activity Data Log" sheetId="12" state="visible" r:id="rId14"/>
    <sheet name="11. Distribution Log" sheetId="13" state="visible" r:id="rId15"/>
    <sheet name="12. Dropout Tracker" sheetId="14" state="visible" r:id="rId16"/>
    <sheet name="12b. Attendance Tracker" sheetId="15" state="visible" r:id="rId17"/>
    <sheet name="13. Budget Tracker" sheetId="16" state="visible" r:id="rId18"/>
    <sheet name="13b. Budget - Quarterly" sheetId="17" state="visible" r:id="rId19"/>
    <sheet name="13c. Budget - Yearly &amp; Total" sheetId="18" state="visible" r:id="rId20"/>
    <sheet name="14. Activity List (for sharing)" sheetId="19" state="visible" r:id="rId21"/>
  </sheets>
  <definedNames>
    <definedName function="false" hidden="true" localSheetId="11" name="_xlnm._FilterDatabase" vbProcedure="false">'10. Activity Data Log'!$B$6:$AF$46</definedName>
    <definedName function="false" hidden="true" localSheetId="12" name="_xlnm._FilterDatabase" vbProcedure="false">'11. Distribution Log'!$B$6:$AK$46</definedName>
    <definedName function="false" hidden="true" localSheetId="15" name="_xlnm._FilterDatabase" vbProcedure="false">'13. Budget Tracker'!$B$6:$AF$20</definedName>
    <definedName function="false" hidden="true" localSheetId="16" name="_xlnm._FilterDatabase" vbProcedure="false">'13b. Budget - Quarterly'!$B$6:$N$20</definedName>
    <definedName function="false" hidden="true" localSheetId="17" name="_xlnm._FilterDatabase" vbProcedure="false">'13c. Budget - Yearly &amp; Total'!$B$5:$I$19</definedName>
    <definedName function="false" hidden="true" localSheetId="18" name="_xlnm._FilterDatabase" vbProcedure="false">'14. Activity List (for sharing)'!$B$5:$K$80</definedName>
    <definedName function="false" hidden="true" localSheetId="4" name="_xlnm._FilterDatabase" vbProcedure="false">'6. CFM Log Template'!$B$6:$AF$46</definedName>
    <definedName function="false" hidden="true" localSheetId="5" name="_xlnm._FilterDatabase" vbProcedure="false">'6b. Collective Feedback'!$B$5:$Q$45</definedName>
    <definedName function="false" hidden="true" localSheetId="7" name="_xlnm._FilterDatabase" vbProcedure="false">'6d. Key Milestones'!$B$5:$E$63</definedName>
    <definedName function="false" hidden="true" localSheetId="8" name="_xlnm._FilterDatabase" vbProcedure="false">'6e. Logframe'!$B$5:$I$25</definedName>
    <definedName function="false" hidden="true" localSheetId="9" name="_xlnm._FilterDatabase" vbProcedure="false">'7. IPTT'!$B$14:$AK$37</definedName>
    <definedName function="false" hidden="true" localSheetId="10" name="_xlnm._FilterDatabase" vbProcedure="false">'8. Activity Tracker'!$B$6:$AO$93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<sst xmlns="http://schemas.openxmlformats.org/spreadsheetml/2006/main" count="4635" uniqueCount="1684">
  <si>
    <t xml:space="preserve">SURAKKHA Action - DG ECHO 2026/00158/RQ/01/03</t>
  </si>
  <si>
    <t xml:space="preserve">FIVDB - Detailed MEAL Plan &amp; Indicator Performance Tracking Table (IPTT)</t>
  </si>
  <si>
    <t xml:space="preserve">Local implementing partner under the technical support of Plan International Bangladesh (PIB)</t>
  </si>
  <si>
    <t xml:space="preserve">Action title</t>
  </si>
  <si>
    <t xml:space="preserve">Strengthening Integrated EiE, Child Protection, Health &amp; GBV Services for Rohingya Refugees and Host Communities in Cox's Bazar, and Scaling up Multi-Hazard Anticipatory Action (SURAKKHA)</t>
  </si>
  <si>
    <t xml:space="preserve">Request number</t>
  </si>
  <si>
    <t xml:space="preserve">2026/00158/RQ/01/03</t>
  </si>
  <si>
    <t xml:space="preserve">Action period</t>
  </si>
  <si>
    <t xml:space="preserve">1 June 2026 – 31 May 2028 (24 months / 8 quarters)</t>
  </si>
  <si>
    <t xml:space="preserve">Consortium lead</t>
  </si>
  <si>
    <t xml:space="preserve">Save the Children International (SC)</t>
  </si>
  <si>
    <t xml:space="preserve">Technical supervision of FIVDB</t>
  </si>
  <si>
    <t xml:space="preserve">Plan International Bangladesh (PIB)</t>
  </si>
  <si>
    <t xml:space="preserve">FIVDB scope</t>
  </si>
  <si>
    <t xml:space="preserve">Result 1 – Education in Emergencies (Activities 1-7); Result 2 – Child Protection (Activities 1, 3, 4, 5)</t>
  </si>
  <si>
    <t xml:space="preserve">Target camps</t>
  </si>
  <si>
    <t xml:space="preserve">Camp 1W, Camp 6, Camp 21, Camp 24 (Cox's Bazar)</t>
  </si>
  <si>
    <t xml:space="preserve">FIVDB budget</t>
  </si>
  <si>
    <t xml:space="preserve">EUR 592,371.41</t>
  </si>
  <si>
    <t xml:space="preserve">Contents</t>
  </si>
  <si>
    <t xml:space="preserve">•  1. MEAL Framework, RACI, DCP &amp; Reporting (combined: Framework, RACI Matrix, Data Collection Plan, Reporting Schedule)</t>
  </si>
  <si>
    <t xml:space="preserve">•  4. M&amp;E Calendar</t>
  </si>
  <si>
    <t xml:space="preserve">•  6. CFM Log Template</t>
  </si>
  <si>
    <t xml:space="preserve">•  6b. Collective Feedback</t>
  </si>
  <si>
    <t xml:space="preserve">•  6c. Target Breakdown (facility &amp; beneficiary targets by sex/disability)</t>
  </si>
  <si>
    <t xml:space="preserve">•  7. IPTT (Indicator Performance Tracking Table)</t>
  </si>
  <si>
    <t xml:space="preserve">•  8. Activity Tracker (implementation progress by activity)</t>
  </si>
  <si>
    <t xml:space="preserve">•  10. Activity Data Log (per-event data entry, Host/FDMN, sex &amp; age, target/discrepancy)</t>
  </si>
  <si>
    <t xml:space="preserve">•  11. Distribution Log (per-item distribution data entry, Host/FDMN, sex &amp; age, ODM/PDM, target/discrepancy)</t>
  </si>
  <si>
    <t xml:space="preserve">•  12. Dropout Tracker (learners, staff &amp; volunteers by designation, month-wise trend)</t>
  </si>
  <si>
    <t xml:space="preserve">•  12b. Attendance Tracker (learner attendance rate by camp, month-wise under quarter)</t>
  </si>
  <si>
    <t xml:space="preserve">•  13. Budget Tracker - Monthly / 13b. Quarterly / 13c. Yearly &amp; Total Project Period (activity-wise smart budget tracking)</t>
  </si>
  <si>
    <t xml:space="preserve">•  14. Activity List (simplified, for sharing with the team)</t>
  </si>
  <si>
    <t xml:space="preserve">Note: FIVDB-specific baselines, targets and budget figures throughout this workbook are derived from the consortium Logframe (Annex I), Beneficiary Table (Annex 2, EiE_PIB / CP_PIB_V2 tabs) and Locations &amp; Integration Mapping (Annex 3). They are indicative and should be validated with PIB at inception.</t>
  </si>
  <si>
    <t xml:space="preserve">Common Points of Confusion (FAQ) - read this before using the workbook</t>
  </si>
  <si>
    <t xml:space="preserve">Q: How is 'segregation' done, and why these 4 categories?</t>
  </si>
  <si>
    <t xml:space="preserve">A: Every person-level field in this workbook (Activity Data Log, Distribution Log, Dropout Tracker, Attendance Tracker) uses the SAME four categories: Girls &lt;18, Boys &lt;18, Women 18+, Men 18+ - always in that order. Each is further split Host (community) vs FDMN (Forcibly Displaced Myanmar Nationals - the official Government of Bangladesh term for Rohingya refugees), giving 8 raw entry columns that roll up into the 4 categories shown in summaries and the Dashboard. This one convention is used everywhere so figures from different sheets can be added together safely.</t>
  </si>
  <si>
    <t xml:space="preserve">Q: Why do some indicators show a blue 'auto' cell and others a yellow manual cell?</t>
  </si>
  <si>
    <t xml:space="preserve">A: IPTT (Sheet 7): 'Number'-unit indicators are AUTOMATIC (light-blue) - cumulative sums pulled from the Activity Data Log and Distribution Log via each entry's own Linked Indicator(s) match, no typing required. '%'-unit indicators are MANUAL (yellow) - a percentage cannot be derived by summing headcounts, so FIVDB enters it directly from survey/assessment data. Activity Tracker (Sheet 8): PLANNED is always manual (FIVDB's own quarterly target); ACTUAL is always automatic (summed from Sheets 10-11).</t>
  </si>
  <si>
    <t xml:space="preserve">Q: Why are there three different-looking activity codes (R1A1, R1A1.1, R1-I1)?</t>
  </si>
  <si>
    <t xml:space="preserve">A: R1A1 / R1A2... = FIVDB's real Detailed Budget Reference codes (Activity Tracker parent codes). R1A1.1 / R1A1.2... = the SUB-ACTIVITY level under each budget code (Activity Tracker rows, Data Log/Distribution Log entries). R1-I1 / R2-I1... = INDICATOR codes (IPTT rows only) - a completely separate numbering system, cross-referenced to sub-activity codes via the 'Linked Activity/ies' and 'Linked Indicator(s)' columns. None of these three are typos of each other.</t>
  </si>
  <si>
    <t xml:space="preserve">Q: Why does the 'How to Articulate in Narrative Report' text mention numbers I haven't entered?</t>
  </si>
  <si>
    <t xml:space="preserve">A: For 'Number'-unit IPTT indicators this narrative is a live formula, not static text - it recalculates the moment new data is logged in Sheets 10-11, including a full sex/age breakdown (Girls &lt;18 / Boys &lt;18 / Women 18+ / Men 18+) and the indicator's own Definition and Source and Method of Data Collection. Before any data is logged it will show 0s, not blanks - that is expected.</t>
  </si>
  <si>
    <t xml:space="preserve">Q: Why do several % targets look almost identical (75-95% range)?</t>
  </si>
  <si>
    <t xml:space="preserve">A: These are the officially approved consortium targets from the Logframe (Annex I) and Narrative Proposal, not FIVDB-set or copy-pasted figures. They cluster in a similar range because they derive from comparable prior-phase (ECHO HIP 2023) performance baselines across CP/PSS/GBV service lines. Each indicator's Comments column (Sheet 7) cites its own distinct source paragraph.</t>
  </si>
  <si>
    <t xml:space="preserve">Q: What does 'Cumulative' vs the quarterly columns mean?</t>
  </si>
  <si>
    <t xml:space="preserve">A: TARGET and ACTUAL are both shown by individual quarter (Q1...Q8) AND as a running Cumulative Actual to Date (which is simply the latest quarter with a non-blank value). % of LOP Target Achieved always compares the CUMULATIVE actual against the full life-of-project target, not any single quarter's figure.</t>
  </si>
  <si>
    <t xml:space="preserve">Q: Why do some FIVDB figures differ from the wider consortium total?</t>
  </si>
  <si>
    <t xml:space="preserve">A: FIVDB delivers only part of Result 1 (alongside SC) and part of Result 2 (Activities 1, 3, 4, 5; Activity 2 is SC-led). Every indicator's Comments/Definition explicitly states both FIVDB's own target AND, where relevant, the full consortium target - FIVDB is only accountable for its own figure, never the consortium total.</t>
  </si>
  <si>
    <t xml:space="preserve">Q: What is RAG Status based on?</t>
  </si>
  <si>
    <t xml:space="preserve">A: Activity Tracker (Sheet 8): RAG compares cumulative ACTUAL (auto, from Sheets 10-11) against cumulative PLANNED (FIVDB's own manual quarterly targets) - On Track &gt;=90%, Slightly Behind 70-89%, Behind &lt;70%. It has nothing to do with the IPTT's indicator-level status.</t>
  </si>
  <si>
    <t xml:space="preserve">1. MEAL Framework, RACI Matrix, Data Collection Plan &amp; Reporting Schedule</t>
  </si>
  <si>
    <t xml:space="preserve">FIVDB delivers Result 1 (Education) and Result 2 Activities 1, 3, 4, 5 (Child Protection) under PIB's technical supervision, within SC's consortium-wide MEAL system. This sheet combines four previously separate sections (Framework, RACI, Data Collection Plan, Reporting Schedule) for a single, continuous read.</t>
  </si>
  <si>
    <t xml:space="preserve">1.1 MEAL Objectives</t>
  </si>
  <si>
    <t xml:space="preserve">Objective</t>
  </si>
  <si>
    <t xml:space="preserve">Reference</t>
  </si>
  <si>
    <t xml:space="preserve">Track FIVDB's contribution to Result 1 and Result 2 indicators against agreed targets, disaggregated by sex, age and disability.</t>
  </si>
  <si>
    <t xml:space="preserve">Logframe (Annex I), Result 1 &amp; 2 indicators</t>
  </si>
  <si>
    <t xml:space="preserve">Ensure quality, safety and protection-sensitivity of education and case-management/PSS services delivered by FIVDB.</t>
  </si>
  <si>
    <t xml:space="preserve">CP Minimum Standards in Humanitarian Settings; Plan Safeguarding Framework</t>
  </si>
  <si>
    <t xml:space="preserve">Provide accurate, timely, verifiable data to PIB for consolidation into SC's ECHO interim/final reporting.</t>
  </si>
  <si>
    <t xml:space="preserve">Narrative Proposal, reporting obligations section</t>
  </si>
  <si>
    <t xml:space="preserve">Maintain a functioning, safe, child-friendly complaints and feedback mechanism (CFM) across all FIVDB camps.</t>
  </si>
  <si>
    <t xml:space="preserve">Plan/FIVDB CFM SOP</t>
  </si>
  <si>
    <t xml:space="preserve">Generate learning that informs adaptive management of FIVDB's activities across the 24-month action.</t>
  </si>
  <si>
    <t xml:space="preserve">MEAL Plan, Section 10 (Learning &amp; Adaptive Management)</t>
  </si>
  <si>
    <t xml:space="preserve">1.2 Guiding Principles</t>
  </si>
  <si>
    <t xml:space="preserve">Principle</t>
  </si>
  <si>
    <t xml:space="preserve">Do no harm / child safeguarding is non-negotiable in all data collection involving children.</t>
  </si>
  <si>
    <t xml:space="preserve">Plan Safeguarding Framework (Updated Risk Assessment Process, 2024)</t>
  </si>
  <si>
    <t xml:space="preserve">Participation: communities (adolescents, parents, CESGs, CBCPCs) are consulted on monitoring design, not only as data sources.</t>
  </si>
  <si>
    <t xml:space="preserve">CHS Commitment 4 (participation and feedback)</t>
  </si>
  <si>
    <t xml:space="preserve">Triangulation: indicators are, where possible, verified through more than one data source.</t>
  </si>
  <si>
    <t xml:space="preserve">IPTT &amp; MEAL Workbook, Sheet 7, Verification/QA Step column</t>
  </si>
  <si>
    <t xml:space="preserve">Proportionality: MEAL effort is proportionate to FIVDB's budget share and risk profile within the consortium.</t>
  </si>
  <si>
    <t xml:space="preserve">FIVDB Detailed Budget (EUR 592,371.41 total)</t>
  </si>
  <si>
    <t xml:space="preserve">Data protection: beneficiary data (esp. CP case data) is stored/shared under SC/PIB's data protection protocol.</t>
  </si>
  <si>
    <t xml:space="preserve">SC/PIB Data Protection Protocol</t>
  </si>
  <si>
    <t xml:space="preserve">1.3 MEAL Governance Structure</t>
  </si>
  <si>
    <t xml:space="preserve">Level</t>
  </si>
  <si>
    <t xml:space="preserve">Responsibility</t>
  </si>
  <si>
    <t xml:space="preserve">FIVDB</t>
  </si>
  <si>
    <t xml:space="preserve">Field-level data collection, first-line quality checks, case management, CFM Tier 1, monthly indicator tracker updates.</t>
  </si>
  <si>
    <t xml:space="preserve">IPTT &amp; MEAL Workbook, Sheets 7-8</t>
  </si>
  <si>
    <t xml:space="preserve">PIB (technical supervision)</t>
  </si>
  <si>
    <t xml:space="preserve">Technical quality assurance, monthly data-quality spot checks, consolidation of FIVDB data into EiE_PIB / CP_PIB_V2 tabs, CFM Tier 2 (sensitive/safeguarding) escalation point.</t>
  </si>
  <si>
    <t xml:space="preserve">Narrative Proposal, technical supervision arrangements</t>
  </si>
  <si>
    <t xml:space="preserve">SC (consortium lead)</t>
  </si>
  <si>
    <t xml:space="preserve">Consortium-wide MEAL standards, indicator consolidation across all partners, ECHO interim/final reporting, leads mid-term/final evaluation.</t>
  </si>
  <si>
    <t xml:space="preserve">Logframe (Annex I), consortium reporting structure</t>
  </si>
  <si>
    <t xml:space="preserve">1.4 RACI Matrix - FIVDB / PIB / SC</t>
  </si>
  <si>
    <t xml:space="preserve">R = Responsible   A = Accountable   C = Consulted   I = Informed</t>
  </si>
  <si>
    <t xml:space="preserve">Function</t>
  </si>
  <si>
    <t xml:space="preserve">PIB</t>
  </si>
  <si>
    <t xml:space="preserve">SC (Lead)</t>
  </si>
  <si>
    <t xml:space="preserve">Frequency</t>
  </si>
  <si>
    <t xml:space="preserve">Field data collection (attendance, case files, distributions)</t>
  </si>
  <si>
    <t xml:space="preserve">R</t>
  </si>
  <si>
    <t xml:space="preserve">C</t>
  </si>
  <si>
    <t xml:space="preserve">I</t>
  </si>
  <si>
    <t xml:space="preserve">Ongoing/daily</t>
  </si>
  <si>
    <t xml:space="preserve">IPTT &amp; MEAL Workbook, Sheets 10-11</t>
  </si>
  <si>
    <t xml:space="preserve">Data entry &amp; indicator tracker update</t>
  </si>
  <si>
    <t xml:space="preserve">A</t>
  </si>
  <si>
    <t xml:space="preserve">Weekly</t>
  </si>
  <si>
    <t xml:space="preserve">IPTT &amp; MEAL Workbook, Sheet 7</t>
  </si>
  <si>
    <t xml:space="preserve">Data quality spot-checks / verification visits</t>
  </si>
  <si>
    <t xml:space="preserve">Monthly</t>
  </si>
  <si>
    <t xml:space="preserve">Field Reporting Templates, Template 7</t>
  </si>
  <si>
    <t xml:space="preserve">Indicator consolidation (FIVDB/PIB share)</t>
  </si>
  <si>
    <t xml:space="preserve">Input</t>
  </si>
  <si>
    <t xml:space="preserve">Consortium indicator consolidation (all partners)</t>
  </si>
  <si>
    <t xml:space="preserve">Quarterly</t>
  </si>
  <si>
    <t xml:space="preserve">Logframe (Annex I)</t>
  </si>
  <si>
    <t xml:space="preserve">Complaints &amp; feedback handling - Tier 1 (non-sensitive)</t>
  </si>
  <si>
    <t xml:space="preserve">Ongoing</t>
  </si>
  <si>
    <t xml:space="preserve">MEAL Plan, Section 9 (AAP/CFM)</t>
  </si>
  <si>
    <t xml:space="preserve">Complaints &amp; feedback handling - Tier 2 (safeguarding/sensitive)</t>
  </si>
  <si>
    <t xml:space="preserve">Escalate</t>
  </si>
  <si>
    <t xml:space="preserve">Within 24-48h</t>
  </si>
  <si>
    <t xml:space="preserve">Field Reporting Templates, Template 16</t>
  </si>
  <si>
    <t xml:space="preserve">Post-distribution monitoring (PDM)</t>
  </si>
  <si>
    <t xml:space="preserve">C (QC)</t>
  </si>
  <si>
    <t xml:space="preserve">Per distribution</t>
  </si>
  <si>
    <t xml:space="preserve">IPTT &amp; MEAL Workbook, Sheet 11 (ODM/PDM columns)</t>
  </si>
  <si>
    <t xml:space="preserve">Case-management supervision</t>
  </si>
  <si>
    <t xml:space="preserve">R (case workers)</t>
  </si>
  <si>
    <t xml:space="preserve">R (technical)</t>
  </si>
  <si>
    <t xml:space="preserve">A (standards)</t>
  </si>
  <si>
    <t xml:space="preserve">Weekly/bi-weekly</t>
  </si>
  <si>
    <t xml:space="preserve">CP Minimum Standards, 7-step process</t>
  </si>
  <si>
    <t xml:space="preserve">Training delivery &amp; pre/post assessment</t>
  </si>
  <si>
    <t xml:space="preserve">Per training</t>
  </si>
  <si>
    <t xml:space="preserve">Field Reporting Templates, Template 2</t>
  </si>
  <si>
    <t xml:space="preserve">Baseline / KAP survey</t>
  </si>
  <si>
    <t xml:space="preserve">Month 1-2</t>
  </si>
  <si>
    <t xml:space="preserve">MEAL Plan, Section 8 (M&amp;E Calendar)</t>
  </si>
  <si>
    <t xml:space="preserve">Mid-term review</t>
  </si>
  <si>
    <t xml:space="preserve">Month 12</t>
  </si>
  <si>
    <t xml:space="preserve">Final evaluation</t>
  </si>
  <si>
    <t xml:space="preserve">Month 22-24</t>
  </si>
  <si>
    <t xml:space="preserve">Interim / final ECHO report data package</t>
  </si>
  <si>
    <t xml:space="preserve">Month 12 / 24</t>
  </si>
  <si>
    <t xml:space="preserve">Logframe cover page (reporting schedule)</t>
  </si>
  <si>
    <t xml:space="preserve">Safeguarding incident management</t>
  </si>
  <si>
    <t xml:space="preserve">R (first response)</t>
  </si>
  <si>
    <t xml:space="preserve">A (escalation)</t>
  </si>
  <si>
    <t xml:space="preserve">1.5 Data Collection Plan - Tools &amp; Methods</t>
  </si>
  <si>
    <t xml:space="preserve">Tool</t>
  </si>
  <si>
    <t xml:space="preserve">Purpose</t>
  </si>
  <si>
    <t xml:space="preserve">Linked indicator(s)</t>
  </si>
  <si>
    <t xml:space="preserve">Responsible</t>
  </si>
  <si>
    <t xml:space="preserve">Enrolment/attendance registers (CBLF)</t>
  </si>
  <si>
    <t xml:space="preserve">Track learner enrolment, attendance, drop-out</t>
  </si>
  <si>
    <t xml:space="preserve">R1-I1, R1-I2, R1-I4, SO-I2</t>
  </si>
  <si>
    <t xml:space="preserve">Facilitators</t>
  </si>
  <si>
    <t xml:space="preserve">Daily/weekly</t>
  </si>
  <si>
    <t xml:space="preserve">Case management database (CPIMS+ or equivalent)</t>
  </si>
  <si>
    <t xml:space="preserve">Track CP case ID, planning, services, closure</t>
  </si>
  <si>
    <t xml:space="preserve">R2-I1, R2-I2</t>
  </si>
  <si>
    <t xml:space="preserve">Case workers</t>
  </si>
  <si>
    <t xml:space="preserve">Per case, continuous</t>
  </si>
  <si>
    <t xml:space="preserve">Training registers + pre/post-tests</t>
  </si>
  <si>
    <t xml:space="preserve">Measure knowledge/skills gained</t>
  </si>
  <si>
    <t xml:space="preserve">R1-I5, R1-I7, R2-I3</t>
  </si>
  <si>
    <t xml:space="preserve">MEAL Officer / trainers</t>
  </si>
  <si>
    <t xml:space="preserve">FIVDB Detailed Budget, R1A4/R2A5</t>
  </si>
  <si>
    <t xml:space="preserve">Distribution/dispatch records &amp; waybills</t>
  </si>
  <si>
    <t xml:space="preserve">Verify materials/kits reached beneficiaries</t>
  </si>
  <si>
    <t xml:space="preserve">R1-I3, R1-I4</t>
  </si>
  <si>
    <t xml:space="preserve">Logistics / MEAL Officer</t>
  </si>
  <si>
    <t xml:space="preserve">IPTT &amp; MEAL Workbook, Sheet 11</t>
  </si>
  <si>
    <t xml:space="preserve">Referral tracker (EiE &lt;-&gt; CP &lt;-&gt; Health)</t>
  </si>
  <si>
    <t xml:space="preserve">Track cross-sector referrals &amp; follow-up</t>
  </si>
  <si>
    <t xml:space="preserve">R1-I8, R2-I1</t>
  </si>
  <si>
    <t xml:space="preserve">Case workers / facilitators</t>
  </si>
  <si>
    <t xml:space="preserve">Ongoing, reviewed weekly</t>
  </si>
  <si>
    <t xml:space="preserve">Field Reporting Templates, Template 8</t>
  </si>
  <si>
    <t xml:space="preserve">Post-distribution monitoring (PDM) survey</t>
  </si>
  <si>
    <t xml:space="preserve">Verify quality, appropriateness, safety of distributions</t>
  </si>
  <si>
    <t xml:space="preserve">SO-I1</t>
  </si>
  <si>
    <t xml:space="preserve">MEAL Officer</t>
  </si>
  <si>
    <t xml:space="preserve">Within 2-4 weeks of distribution</t>
  </si>
  <si>
    <t xml:space="preserve">IPTT &amp; MEAL Workbook, Sheet 11 (PDM columns)</t>
  </si>
  <si>
    <t xml:space="preserve">PSS pre/post assessment (IASC domains)</t>
  </si>
  <si>
    <t xml:space="preserve">Measure wellbeing/coping change</t>
  </si>
  <si>
    <t xml:space="preserve">R2-I4</t>
  </si>
  <si>
    <t xml:space="preserve">Case workers / PSS facilitators</t>
  </si>
  <si>
    <t xml:space="preserve">At PSS group entry &amp; exit</t>
  </si>
  <si>
    <t xml:space="preserve">IASC Common M&amp;E Framework</t>
  </si>
  <si>
    <t xml:space="preserve">Community perception / KAP survey</t>
  </si>
  <si>
    <t xml:space="preserve">Measure safety, accountability, satisfaction</t>
  </si>
  <si>
    <t xml:space="preserve">MEAL Officer / PIB</t>
  </si>
  <si>
    <t xml:space="preserve">Baseline, midline, endline</t>
  </si>
  <si>
    <t xml:space="preserve">Facility monitoring checklist</t>
  </si>
  <si>
    <t xml:space="preserve">Verify safe-learning standards, environmental activities</t>
  </si>
  <si>
    <t xml:space="preserve">R1-I2, R1-I9</t>
  </si>
  <si>
    <t xml:space="preserve">Education Officer</t>
  </si>
  <si>
    <t xml:space="preserve">Field Reporting Templates, Template 5</t>
  </si>
  <si>
    <t xml:space="preserve">Complaints &amp; Feedback Mechanism (CFM) log</t>
  </si>
  <si>
    <t xml:space="preserve">Record, triage, resolve complaints</t>
  </si>
  <si>
    <t xml:space="preserve">MEAL Officer / Safeguarding FP</t>
  </si>
  <si>
    <t xml:space="preserve">1.6 Reporting Schedule</t>
  </si>
  <si>
    <t xml:space="preserve">Report</t>
  </si>
  <si>
    <t xml:space="preserve">Due</t>
  </si>
  <si>
    <t xml:space="preserve">Prepared by</t>
  </si>
  <si>
    <t xml:space="preserve">Submitted to</t>
  </si>
  <si>
    <t xml:space="preserve">Weekly activity/attendance summary</t>
  </si>
  <si>
    <t xml:space="preserve">FIVDB field teams</t>
  </si>
  <si>
    <t xml:space="preserve">FIVDB Project Manager / PIB</t>
  </si>
  <si>
    <t xml:space="preserve">Field Reporting Templates, Template 1</t>
  </si>
  <si>
    <t xml:space="preserve">Monthly progress &amp; indicator update</t>
  </si>
  <si>
    <t xml:space="preserve">FIVDB MEAL Officer</t>
  </si>
  <si>
    <t xml:space="preserve">Quarterly narrative + indicator report</t>
  </si>
  <si>
    <t xml:space="preserve">FIVDB Project Manager</t>
  </si>
  <si>
    <t xml:space="preserve">PIB -&gt; SC</t>
  </si>
  <si>
    <t xml:space="preserve">Interim narrative &amp; financial report inputs</t>
  </si>
  <si>
    <t xml:space="preserve">PIB -&gt; SC -&gt; DG ECHO</t>
  </si>
  <si>
    <t xml:space="preserve">Logframe cover page (action timeline)</t>
  </si>
  <si>
    <t xml:space="preserve">Final narrative &amp; financial report inputs</t>
  </si>
  <si>
    <t xml:space="preserve">Month 24</t>
  </si>
  <si>
    <t xml:space="preserve">Incident / safeguarding report</t>
  </si>
  <si>
    <t xml:space="preserve">Within 24-48h of incident</t>
  </si>
  <si>
    <t xml:space="preserve">FIVDB Safeguarding Focal Point</t>
  </si>
  <si>
    <t xml:space="preserve">PIB Safeguarding Focal Point</t>
  </si>
  <si>
    <t xml:space="preserve">4. Monitoring &amp; Evaluation Calendar (by month, grouped under quarter)</t>
  </si>
  <si>
    <t xml:space="preserve">X = planned activity in that month. Q1 = Jun-Aug 2026 ... Q8 = Mar-May 2028; months are grouped under their quarter. 'Tool Used' cites the actual template/sheet; 'Tool Status' flags where no ready-made instrument exists yet and needs developing. 'Full Process' gives the step-by-step method, Step 1 to last.</t>
  </si>
  <si>
    <t xml:space="preserve">Activity</t>
  </si>
  <si>
    <t xml:space="preserve">Tool Used</t>
  </si>
  <si>
    <t xml:space="preserve">Tool Status</t>
  </si>
  <si>
    <t xml:space="preserve">Indicator
Reference</t>
  </si>
  <si>
    <t xml:space="preserve">Activity
Reference</t>
  </si>
  <si>
    <t xml:space="preserve">Full Process (Step 1 to last)</t>
  </si>
  <si>
    <t xml:space="preserve">Q1</t>
  </si>
  <si>
    <t xml:space="preserve">Q2</t>
  </si>
  <si>
    <t xml:space="preserve">Q3</t>
  </si>
  <si>
    <t xml:space="preserve">Q4</t>
  </si>
  <si>
    <t xml:space="preserve">Q5</t>
  </si>
  <si>
    <t xml:space="preserve">Q6</t>
  </si>
  <si>
    <t xml:space="preserve">Q7</t>
  </si>
  <si>
    <t xml:space="preserve">Q8</t>
  </si>
  <si>
    <t xml:space="preserve">Notes</t>
  </si>
  <si>
    <t xml:space="preserve">06/2026</t>
  </si>
  <si>
    <t xml:space="preserve">07/2026</t>
  </si>
  <si>
    <t xml:space="preserve">08/2026</t>
  </si>
  <si>
    <t xml:space="preserve">09/2026</t>
  </si>
  <si>
    <t xml:space="preserve">10/2026</t>
  </si>
  <si>
    <t xml:space="preserve">11/2026</t>
  </si>
  <si>
    <t xml:space="preserve">12/2026</t>
  </si>
  <si>
    <t xml:space="preserve">01/2027</t>
  </si>
  <si>
    <t xml:space="preserve">02/2027</t>
  </si>
  <si>
    <t xml:space="preserve">03/2027</t>
  </si>
  <si>
    <t xml:space="preserve">04/2027</t>
  </si>
  <si>
    <t xml:space="preserve">05/2027</t>
  </si>
  <si>
    <t xml:space="preserve">06/2027</t>
  </si>
  <si>
    <t xml:space="preserve">07/2027</t>
  </si>
  <si>
    <t xml:space="preserve">08/2027</t>
  </si>
  <si>
    <t xml:space="preserve">09/2027</t>
  </si>
  <si>
    <t xml:space="preserve">10/2027</t>
  </si>
  <si>
    <t xml:space="preserve">11/2027</t>
  </si>
  <si>
    <t xml:space="preserve">12/2027</t>
  </si>
  <si>
    <t xml:space="preserve">01/2028</t>
  </si>
  <si>
    <t xml:space="preserve">02/2028</t>
  </si>
  <si>
    <t xml:space="preserve">03/2028</t>
  </si>
  <si>
    <t xml:space="preserve">04/2028</t>
  </si>
  <si>
    <t xml:space="preserve">05/2028</t>
  </si>
  <si>
    <t xml:space="preserve">Baseline/KAP Survey Questionnaire</t>
  </si>
  <si>
    <t xml:space="preserve">Needs development - no ready-made instrument yet in the Field Reporting Templates pack</t>
  </si>
  <si>
    <t xml:space="preserve">INC-6</t>
  </si>
  <si>
    <t xml:space="preserve">Step 1: Design/adapt questionnaire with PIB MEAL. Step 2: Train enumerators. Step 3: Sample households per camp (stratified by sex/age/disability). Step 4: Administer face-to-face (paper or KoBo/ODK). Step 5: Clean and analyse data. Step 6: Share baseline report with PIB.</t>
  </si>
  <si>
    <t xml:space="preserve">X</t>
  </si>
  <si>
    <t xml:space="preserve">Month 1-2 start-up</t>
  </si>
  <si>
    <t xml:space="preserve">Monthly indicator tracking</t>
  </si>
  <si>
    <t xml:space="preserve">IPTT Data Reporting Form</t>
  </si>
  <si>
    <t xml:space="preserve">Needs development - removed from the Field Reporting Templates pack pending redesign (see pack's closing note)</t>
  </si>
  <si>
    <t xml:space="preserve">All Sheet 7 indicators</t>
  </si>
  <si>
    <t xml:space="preserve">N/A (cross-cutting)</t>
  </si>
  <si>
    <t xml:space="preserve">Step 1: Field staff record activity data in source registers. Step 2: MEAL Officer extracts monthly cumulative figures. Step 3: Enter into IPTT Sheet 7 ACTUAL columns. Step 4: Cross-check against Activity Tracker Sheet 8. Step 5: Flag off-track indicators to Project Manager.</t>
  </si>
  <si>
    <t xml:space="preserve">Continuous</t>
  </si>
  <si>
    <t xml:space="preserve">Quarterly data review (FIVDB-PIB-SC)</t>
  </si>
  <si>
    <t xml:space="preserve">IPTT (Sheet 7) + Activity Tracker (Sheet 8)</t>
  </si>
  <si>
    <t xml:space="preserve">Exists - this workbook</t>
  </si>
  <si>
    <t xml:space="preserve">All indicators</t>
  </si>
  <si>
    <t xml:space="preserve">All activities</t>
  </si>
  <si>
    <t xml:space="preserve">Step 1: MEAL Officer prepares quarterly extract. Step 2: Joint meeting scheduled with PIB/SC. Step 3: Walk through IPTT % Achieved and Activity Tracker RAG status together. Step 4: Agree corrective actions for off-track items. Step 5: Minute and circulate action points.</t>
  </si>
  <si>
    <t xml:space="preserve">Every quarter</t>
  </si>
  <si>
    <t xml:space="preserve">Data quality spot-check (PIB)</t>
  </si>
  <si>
    <t xml:space="preserve">Data Quality Check / Spot-Check Report</t>
  </si>
  <si>
    <t xml:space="preserve">Exists - Field Reporting Templates, Template 7</t>
  </si>
  <si>
    <t xml:space="preserve">Step 1: PIB MEAL randomly samples &gt;=10% of source records. Step 2: Verify reported value against source document. Step 3: Record match/discrepancy and root cause. Step 4: Calculate % accuracy. Step 5: Agree corrective action with FIVDB; set follow-up date.</t>
  </si>
  <si>
    <t xml:space="preserve">Monthly, reviewed quarterly</t>
  </si>
  <si>
    <t xml:space="preserve">PDM Questionnaire</t>
  </si>
  <si>
    <t xml:space="preserve">Needs development - ODM/PDM tracking columns exist (Sheet 11) but no standalone PDM survey instrument yet</t>
  </si>
  <si>
    <t xml:space="preserve">R1A2, R1A3, R2A3</t>
  </si>
  <si>
    <t xml:space="preserve">Step 1: Select random sample of recipients (2-4 weeks post-distribution). Step 2: Contact by phone or in-person. Step 3: Administer PDM questionnaire (quality, appropriateness, safety, satisfaction). Step 4: Record findings in Distribution Log Sheet 11 (PDM Findings). Step 5: Flag issues for follow-up.</t>
  </si>
  <si>
    <t xml:space="preserve">Per distribution cycle</t>
  </si>
  <si>
    <t xml:space="preserve">Case management supervision &amp; review</t>
  </si>
  <si>
    <t xml:space="preserve">CPMS Supervision Checklist</t>
  </si>
  <si>
    <t xml:space="preserve">Needs development - referenced against CP Minimum Standards but not yet built as a standalone checklist</t>
  </si>
  <si>
    <t xml:space="preserve">R2-I1, R2-I5</t>
  </si>
  <si>
    <t xml:space="preserve">R2A1</t>
  </si>
  <si>
    <t xml:space="preserve">Step 1: PIB technical supervisor reviews case files. Step 2: Individual/group supervision session with case workers. Step 3: Score against CPMS supervision checklist. Step 4: Identify coaching needs. Step 5: Record in supervision log; follow up at next session.</t>
  </si>
  <si>
    <t xml:space="preserve">Monitoring Visit Checklist</t>
  </si>
  <si>
    <t xml:space="preserve">Exists - Field Reporting Templates, Template 5</t>
  </si>
  <si>
    <t xml:space="preserve">R1-I2, R1-I9, R2-I4</t>
  </si>
  <si>
    <t xml:space="preserve">R1A2, R2A3</t>
  </si>
  <si>
    <t xml:space="preserve">Step 1: Joint FIVDB-PIB site visit scheduled. Step 2: Complete the relevant Template 5 section (by visit type). Step 3: Record observations and photographic evidence. Step 4: Complete Monitoring Visit Report (Template 4). Step 5: Share findings and agree action points.</t>
  </si>
  <si>
    <t xml:space="preserve">Mid-term review contribution</t>
  </si>
  <si>
    <t xml:space="preserve">IPTT extract + case examples</t>
  </si>
  <si>
    <t xml:space="preserve">Exists - this workbook + Field Reporting Templates, Template 10</t>
  </si>
  <si>
    <t xml:space="preserve">Step 1: Compile camp-level data from IPTT/Activity Tracker. Step 2: Self-assess progress against targets. Step 3: Compile illustrative case examples (Template 10). Step 4: Submit to PIB/SC ahead of the review. Step 5: Participate in KIIs/FGDs.</t>
  </si>
  <si>
    <t xml:space="preserve">Interim ECHO report data package</t>
  </si>
  <si>
    <t xml:space="preserve">IPTT extract</t>
  </si>
  <si>
    <t xml:space="preserve">Step 1: MEAL Officer compiles IPTT extract. Step 2: Draft narrative highlights. Step 3: Compile supporting evidence. Step 4: PIB validates. Step 5: Submit to SC.</t>
  </si>
  <si>
    <t xml:space="preserve">Community perception / KAP midline</t>
  </si>
  <si>
    <t xml:space="preserve">Community Perception Survey</t>
  </si>
  <si>
    <t xml:space="preserve">Needs development - no standalone instrument yet, to mirror the baseline tool once built</t>
  </si>
  <si>
    <t xml:space="preserve">Step 1: Repeat baseline sampling approach. Step 2: Administer same/comparable questionnaire. Step 3: Analyse and compare to baseline. Step 4: Share midline report with PIB.</t>
  </si>
  <si>
    <t xml:space="preserve">Final evaluation contribution</t>
  </si>
  <si>
    <t xml:space="preserve">IPTT extract + KII/FGD participation</t>
  </si>
  <si>
    <t xml:space="preserve">Step 1: Support SC/PIB-led evaluators with data access. Step 2: Participate in KIIs/FGDs. Step 3: Verify final indicator values. Step 4: Review draft evaluation findings.</t>
  </si>
  <si>
    <t xml:space="preserve">Endline KAP survey</t>
  </si>
  <si>
    <t xml:space="preserve">Baseline/KAP Survey Questionnaire (repeat)</t>
  </si>
  <si>
    <t xml:space="preserve">Needs development - same instrument as baseline, once built</t>
  </si>
  <si>
    <t xml:space="preserve">Step 1: Repeat baseline/midline methodology. Step 2: Administer at project close. Step 3: Compare results against baseline and midline. Step 4: Share endline report.</t>
  </si>
  <si>
    <t xml:space="preserve">Month 22-23</t>
  </si>
  <si>
    <t xml:space="preserve">Final ECHO report data package</t>
  </si>
  <si>
    <t xml:space="preserve">Step 1: Compile final IPTT extract for the full 24-month period. Step 2: Draft narrative. Step 3: Compile evidence. Step 4: PIB validates. Step 5: Submit to SC.</t>
  </si>
  <si>
    <t xml:space="preserve">Sustainability / handover review</t>
  </si>
  <si>
    <t xml:space="preserve">Workshop discussion (no fixed instrument)</t>
  </si>
  <si>
    <t xml:space="preserve">Not applicable - facilitated discussion, no data-collection tool needed</t>
  </si>
  <si>
    <t xml:space="preserve">CLOSE</t>
  </si>
  <si>
    <t xml:space="preserve">Step 1: Joint FIVDB-PIB-SC workshop scheduled. Step 2: Document lessons learned. Step 3: Agree handover/sustainability arrangements for CESGs, CBCPCs, MPCACs, adolescent clubs. Step 4: Circulate handover plan.</t>
  </si>
  <si>
    <t xml:space="preserve">Dashboard - Program, MEAL, Management &amp; Finance Summary</t>
  </si>
  <si>
    <t xml:space="preserve">Live summary pulled automatically from the IPTT (Sheet 7), Activity Tracker (Sheet 8), Budget Tracker (Sheet 13), Activity Data Log (Sheet 10) and Distribution Log (Sheet 11). Nothing on this sheet is entered manually - update the current reporting quarter on the IPTT sheet and everything below recalculates.</t>
  </si>
  <si>
    <t xml:space="preserve">Current Reporting Quarter</t>
  </si>
  <si>
    <t xml:space="preserve">Overall Budget Utilised</t>
  </si>
  <si>
    <t xml:space="preserve">Avg. Physical Progress
(all activities)</t>
  </si>
  <si>
    <t xml:space="preserve">Total Data Log Entries
(Sheets 10+11)</t>
  </si>
  <si>
    <t xml:space="preserve">ACTION NEEDED - What requires attention right now</t>
  </si>
  <si>
    <t xml:space="preserve">Consolidated from every section below, so decision-makers see what needs attention without reading the whole sheet.</t>
  </si>
  <si>
    <t xml:space="preserve">Area</t>
  </si>
  <si>
    <t xml:space="preserve">Alert</t>
  </si>
  <si>
    <t xml:space="preserve">Count</t>
  </si>
  <si>
    <t xml:space="preserve">Activities</t>
  </si>
  <si>
    <t xml:space="preserve">Sub-activities marked 'Behind' (Sheet 8)</t>
  </si>
  <si>
    <t xml:space="preserve">Indicators</t>
  </si>
  <si>
    <t xml:space="preserve">Indicators 'At Risk' (&lt;70% of expected pace, Sheet 7)</t>
  </si>
  <si>
    <t xml:space="preserve">Budget</t>
  </si>
  <si>
    <t xml:space="preserve">Lines at Overspend Risk (&gt;110% utilised, Sheet 13c)</t>
  </si>
  <si>
    <t xml:space="preserve">CFM</t>
  </si>
  <si>
    <t xml:space="preserve">Category 5/6 safeguarding/PSEA/fraud/security concerns logged</t>
  </si>
  <si>
    <t xml:space="preserve">Data Quality</t>
  </si>
  <si>
    <t xml:space="preserve">Activity Data Log rows missing Event Date (breaks the auto-link)</t>
  </si>
  <si>
    <t xml:space="preserve">For Management - Implementation Status</t>
  </si>
  <si>
    <t xml:space="preserve">RAG status distribution across all 75 sub-activities (Activity Tracker, Sheet 8), based on cumulative % Physical Progress vs plan.</t>
  </si>
  <si>
    <t xml:space="preserve">On Track</t>
  </si>
  <si>
    <t xml:space="preserve">Slightly Behind</t>
  </si>
  <si>
    <t xml:space="preserve">Behind</t>
  </si>
  <si>
    <t xml:space="preserve">No data yet</t>
  </si>
  <si>
    <t xml:space="preserve">'Behind' activities need management attention - filter the Activity Tracker's RAG Status column (Sheet 8) directly to see which ones.</t>
  </si>
  <si>
    <t xml:space="preserve">For MEAL - Indicator Achievement</t>
  </si>
  <si>
    <t xml:space="preserve">% of LOP Target Achieved, averaged by Result (IPTT, Sheet 7). Indicator count classified: On Track (&gt;=90% of expected pace), Watch (70-89%), At Risk (&lt;70%).</t>
  </si>
  <si>
    <t xml:space="preserve">Result</t>
  </si>
  <si>
    <t xml:space="preserve">Avg % of LOP
Target Achieved</t>
  </si>
  <si>
    <t xml:space="preserve">Indicators
On Track</t>
  </si>
  <si>
    <t xml:space="preserve">Indicators
Watch</t>
  </si>
  <si>
    <t xml:space="preserve">Indicators
At Risk</t>
  </si>
  <si>
    <t xml:space="preserve">Result 1 (Education)</t>
  </si>
  <si>
    <t xml:space="preserve">Result 2 (Protection)</t>
  </si>
  <si>
    <t xml:space="preserve">Specific Objective</t>
  </si>
  <si>
    <t xml:space="preserve">Data collection volume (Sheets 10-11) and retention (Sheet 12) are tracked on their own sheets - see Activity Data Log, Distribution Log, and Dropout Tracker directly for full detail.</t>
  </si>
  <si>
    <t xml:space="preserve">For Program Staff - This Quarter's Delivery</t>
  </si>
  <si>
    <t xml:space="preserve">Focused on what's due this quarter and what needs catching up - planned vs actually logged, current reporting quarter only.</t>
  </si>
  <si>
    <t xml:space="preserve">Metric</t>
  </si>
  <si>
    <t xml:space="preserve">Value</t>
  </si>
  <si>
    <t xml:space="preserve">Sub-activities with a target planned this quarter</t>
  </si>
  <si>
    <t xml:space="preserve">Sub-activities marked 'Behind' (need catch-up)</t>
  </si>
  <si>
    <t xml:space="preserve">Events/sessions logged this quarter (Sheet 10)</t>
  </si>
  <si>
    <t xml:space="preserve">Distributions logged this quarter (Sheet 11)</t>
  </si>
  <si>
    <t xml:space="preserve">Participants reached this quarter (Sheet 10, Total Participants)</t>
  </si>
  <si>
    <t xml:space="preserve">Recipients reached this quarter (Sheet 11, Total Recipients)</t>
  </si>
  <si>
    <t xml:space="preserve">For Finance - Budget Utilisation</t>
  </si>
  <si>
    <t xml:space="preserve">From the Budget Tracker (Sheet 13). Utilisation = cumulative spend to date / approved budget, per line.</t>
  </si>
  <si>
    <t xml:space="preserve">Total Approved Budget (EUR)</t>
  </si>
  <si>
    <t xml:space="preserve">Total Spent to Date (EUR)</t>
  </si>
  <si>
    <t xml:space="preserve">Overall Utilisation %</t>
  </si>
  <si>
    <t xml:space="preserve">Budget Lines - Underspend Risk</t>
  </si>
  <si>
    <t xml:space="preserve">Budget Lines - On Track</t>
  </si>
  <si>
    <t xml:space="preserve">Budget Lines - Overspend Risk</t>
  </si>
  <si>
    <t xml:space="preserve">Activity &amp; Distribution - Male / Female Breakdown</t>
  </si>
  <si>
    <t xml:space="preserve">Sums Host + FDMN across all logged rows (Activity Data Log, Sheet 10; Distribution Log, Sheet 11). Male = Boys &lt;18 + Male 18+; Female = Girls &lt;18 + Female 18+, per each sheet's own sex/age columns.</t>
  </si>
  <si>
    <t xml:space="preserve">Source</t>
  </si>
  <si>
    <t xml:space="preserve">Male</t>
  </si>
  <si>
    <t xml:space="preserve">Female</t>
  </si>
  <si>
    <t xml:space="preserve">Total</t>
  </si>
  <si>
    <t xml:space="preserve">Activity Data Log (Sheet 10)</t>
  </si>
  <si>
    <t xml:space="preserve">Distribution Log (Sheet 11)</t>
  </si>
  <si>
    <t xml:space="preserve">TOTAL (Activity + Distribution)</t>
  </si>
  <si>
    <t xml:space="preserve">Indicator-by-Indicator Detail (all 17 indicators)</t>
  </si>
  <si>
    <t xml:space="preserve">Every indicator individually, not just Result-level averages - pulled live from IPTT (Sheet 7). Status: On Track &gt;=90% of expected pace, Watch 70-89%, At Risk &lt;70%, No data yet if blank.</t>
  </si>
  <si>
    <t xml:space="preserve">Code</t>
  </si>
  <si>
    <t xml:space="preserve">Indicator</t>
  </si>
  <si>
    <t xml:space="preserve">Unit</t>
  </si>
  <si>
    <t xml:space="preserve">Cumulative Actual</t>
  </si>
  <si>
    <t xml:space="preserve">LOP Target</t>
  </si>
  <si>
    <t xml:space="preserve">% Achieved / Status</t>
  </si>
  <si>
    <t xml:space="preserve">Budget Line-by-Line Detail (all 14 lines)</t>
  </si>
  <si>
    <t xml:space="preserve">Every budget line individually, pulled live from the Budget Tracker (Sheet 13c, Yearly &amp; Total). Status: On Track 70-110% utilisation for time elapsed, Underspend Risk &lt;70%, Overspend Risk &gt;110%.</t>
  </si>
  <si>
    <t xml:space="preserve">Budget Line</t>
  </si>
  <si>
    <t xml:space="preserve">Approved (EUR)</t>
  </si>
  <si>
    <t xml:space="preserve">Spent to Date (EUR)</t>
  </si>
  <si>
    <t xml:space="preserve">% Utilised</t>
  </si>
  <si>
    <t xml:space="preserve">Status</t>
  </si>
  <si>
    <t xml:space="preserve">Camp-wise Summary</t>
  </si>
  <si>
    <t xml:space="preserve">Total participants/recipients reached to date, by camp - summed live from the Activity Data Log (Sheet 10) and Distribution Log (Sheet 11) Camp columns.</t>
  </si>
  <si>
    <t xml:space="preserve">Camp</t>
  </si>
  <si>
    <t xml:space="preserve">Activity Data Log
Participants</t>
  </si>
  <si>
    <t xml:space="preserve">Distribution Log
Recipients</t>
  </si>
  <si>
    <t xml:space="preserve">Camp 1W</t>
  </si>
  <si>
    <t xml:space="preserve">Camp 6</t>
  </si>
  <si>
    <t xml:space="preserve">Camp 21</t>
  </si>
  <si>
    <t xml:space="preserve">Camp 24</t>
  </si>
  <si>
    <t xml:space="preserve">Complaints &amp; Feedback (CFM) Summary</t>
  </si>
  <si>
    <t xml:space="preserve">Pulled live from the CFM Log (Sheet 6). Category 5/6 = safeguarding/PSEA/fraud/security concerns - these need immediate management attention regardless of overall volume.</t>
  </si>
  <si>
    <t xml:space="preserve">Total feedback/complaints logged</t>
  </si>
  <si>
    <t xml:space="preserve">Unresolved (open)</t>
  </si>
  <si>
    <t xml:space="preserve">Category 5/6 (safeguarding/PSEA/fraud/security) - needs immediate attention</t>
  </si>
  <si>
    <t xml:space="preserve">Attendance Summary (age-segregated)</t>
  </si>
  <si>
    <t xml:space="preserve">Pulled live from the Attendance Tracker's Compile section (Sheet 12b) - latest month with data, per camp and age segment.</t>
  </si>
  <si>
    <t xml:space="preserve">Segment</t>
  </si>
  <si>
    <t xml:space="preserve">Latest Attendance %</t>
  </si>
  <si>
    <t xml:space="preserve">Girls &lt;18</t>
  </si>
  <si>
    <t xml:space="preserve">Boys &lt;18</t>
  </si>
  <si>
    <t xml:space="preserve">Dropout Summary (age-segregated)</t>
  </si>
  <si>
    <t xml:space="preserve">Pulled live from the Dropout Tracker's Automatic Summary (Sheet 12, Section E) - cumulative dropout %, by category and age/sex segment.</t>
  </si>
  <si>
    <t xml:space="preserve">Category</t>
  </si>
  <si>
    <t xml:space="preserve">Dropout %</t>
  </si>
  <si>
    <t xml:space="preserve">A. Learner Dropout</t>
  </si>
  <si>
    <t xml:space="preserve">B. Staff Dropout / Turnover - by Designation</t>
  </si>
  <si>
    <t xml:space="preserve">Female 18+</t>
  </si>
  <si>
    <t xml:space="preserve">Male 18+</t>
  </si>
  <si>
    <t xml:space="preserve">C. Volunteer Dropout / Turnover - by Designation &amp; Rohingya/Host</t>
  </si>
  <si>
    <t xml:space="preserve">Chart - Activity RAG Status Distribution</t>
  </si>
  <si>
    <t xml:space="preserve">Chart - Dropout % by Category &amp; Segment</t>
  </si>
  <si>
    <t xml:space="preserve">A. Learner Dropout - Girls &lt;18</t>
  </si>
  <si>
    <t xml:space="preserve">A. Learner Dropout - Boys &lt;18</t>
  </si>
  <si>
    <t xml:space="preserve">B. Staff Dropout / Turnover - by Designation - Female 18+</t>
  </si>
  <si>
    <t xml:space="preserve">B. Staff Dropout / Turnover - by Designation - Male 18+</t>
  </si>
  <si>
    <t xml:space="preserve">C. Volunteer Dropout / Turnover - by Designation &amp; Rohingya/Host - Female 18+</t>
  </si>
  <si>
    <t xml:space="preserve">C. Volunteer Dropout / Turnover - by Designation &amp; Rohingya/Host - Male 18+</t>
  </si>
  <si>
    <t xml:space="preserve">6. Complaints &amp; Feedback Mechanism (CFM) - Individual Feedback Database</t>
  </si>
  <si>
    <t xml:space="preserve">Adapted from Save the Children's MPCA Feedback Database Template for FIVDB/SURAKKHA. Records individual pieces of feedback and concerns (hotline, feedback box, one-to-one conversations, face-to-face). For group/collective feedback (community meetings, FGDs, informal debriefs), use Sheet 6b (Collective Feedback) instead. Do NOT record names or descriptive detail for Category 5/6 sensitive concerns (safeguarding, PSEA, fraud, security) - record only the reference number of the formal report filed with the PIB/FIVDB Safeguarding Focal Point. Category 5/6 concerns must be escalated within 24-48 hours per the Safeguarding Framework.</t>
  </si>
  <si>
    <t xml:space="preserve">Information about when and by whom the feedback/concern was received or documented</t>
  </si>
  <si>
    <t xml:space="preserve">Information about the person who shared feedback/concern and the feedback/concern itself (OPTIONAL - the person may decline to give this information)</t>
  </si>
  <si>
    <t xml:space="preserve">Information about referring, actioning and closing the feedback loop</t>
  </si>
  <si>
    <t xml:space="preserve">Unique Number</t>
  </si>
  <si>
    <t xml:space="preserve">Date Received
(dd/mm/yy)</t>
  </si>
  <si>
    <t xml:space="preserve">Name of Staff Who Received/Documented</t>
  </si>
  <si>
    <t xml:space="preserve">Position of Staff Member</t>
  </si>
  <si>
    <t xml:space="preserve">Contact Details of Staff Member</t>
  </si>
  <si>
    <t xml:space="preserve">Channel</t>
  </si>
  <si>
    <t xml:space="preserve">Name of Person Sharing Feedback
(if known)</t>
  </si>
  <si>
    <t xml:space="preserve">Type of Person</t>
  </si>
  <si>
    <t xml:space="preserve">Age
(if known)</t>
  </si>
  <si>
    <t xml:space="preserve">Age Group
(auto)</t>
  </si>
  <si>
    <t xml:space="preserve">Gender</t>
  </si>
  <si>
    <t xml:space="preserve">Vulnerability</t>
  </si>
  <si>
    <t xml:space="preserve">Phone Number
(if provided)</t>
  </si>
  <si>
    <t xml:space="preserve">Block
(if known)</t>
  </si>
  <si>
    <t xml:space="preserve">Address
(if applicable)</t>
  </si>
  <si>
    <t xml:space="preserve">Theme/Sector</t>
  </si>
  <si>
    <t xml:space="preserve">Activity/Project
(Activity Code if known)</t>
  </si>
  <si>
    <t xml:space="preserve">Description of Feedback
(NOT for Category 5/6 - cite report ref# instead)</t>
  </si>
  <si>
    <t xml:space="preserve">Sub-Category
(Category 5/6 only)</t>
  </si>
  <si>
    <t xml:space="preserve">Date of Referral
(dd/mm/yy)</t>
  </si>
  <si>
    <t xml:space="preserve">Name of Staff Referred To</t>
  </si>
  <si>
    <t xml:space="preserve">Position of Staff Referred To</t>
  </si>
  <si>
    <t xml:space="preserve">Contact of Staff Referred To</t>
  </si>
  <si>
    <t xml:space="preserve">Actions Undertaken to Resolve
(NOT for Category 5/6)</t>
  </si>
  <si>
    <t xml:space="preserve">Date Resolved
(dd/mm/yy)</t>
  </si>
  <si>
    <t xml:space="preserve">Days Taken to Resolve
(auto)</t>
  </si>
  <si>
    <t xml:space="preserve">Feedback Loop Closed?
(communicated back to person)</t>
  </si>
  <si>
    <t xml:space="preserve">Additional Comments</t>
  </si>
  <si>
    <t xml:space="preserve">6b. Complaints &amp; Feedback Mechanism (CFM) - Collective Feedback</t>
  </si>
  <si>
    <t xml:space="preserve">Records feedback gathered from a GROUP of adults or children (e.g. community meetings, FGDs) or informal feedback shared by front-line staff (e.g. during a de-brief session) - as distinct from Sheet 6's individual feedback log. This allows FIVDB/PIB to analyse both formal/individual and informal/collective feedback together.</t>
  </si>
  <si>
    <t xml:space="preserve">Date
(dd/mm/yy)</t>
  </si>
  <si>
    <t xml:space="preserve">Name of Staff Who Documented</t>
  </si>
  <si>
    <t xml:space="preserve">Position</t>
  </si>
  <si>
    <t xml:space="preserve">Method
(community meeting/FGD/debrief)</t>
  </si>
  <si>
    <t xml:space="preserve">Group Composition
(e.g. CESG, CBCPC, parents)</t>
  </si>
  <si>
    <t xml:space="preserve">No. of Participants
(M/F/Total)</t>
  </si>
  <si>
    <t xml:space="preserve">Summary of Feedback/Concerns Raised</t>
  </si>
  <si>
    <t xml:space="preserve">Actions Undertaken</t>
  </si>
  <si>
    <t xml:space="preserve">Feedback Loop Closed?
(communicated back to group)</t>
  </si>
  <si>
    <t xml:space="preserve">6c. Target Breakdown - FIVDB Facility &amp; Beneficiary Targets</t>
  </si>
  <si>
    <t xml:space="preserve">Figures cross-validated against the Narrative Proposal (18-Mar-26), the FIVDB Detailed Budget, and Annex 3 (Locations &amp; Integration Mapping). Updated from earlier Annex-2-derived estimates where the Narrative/Budget give more precise, confirmed numbers - see the Comments column and the note at the end of each section. Education and Protection beneficiary totals are counted as unique within each sector separately; the same person may appear in both sectors, so the combined FIVDB total at the bottom is not a de-duplicated headcount across sectors.</t>
  </si>
  <si>
    <t xml:space="preserve">A. Education (Result 1) Targets</t>
  </si>
  <si>
    <t xml:space="preserve">A.1 Facility / structure targets</t>
  </si>
  <si>
    <t xml:space="preserve">Structure</t>
  </si>
  <si>
    <t xml:space="preserve">Community-Based Learning Facilities (CBLFs) - girls'</t>
  </si>
  <si>
    <t xml:space="preserve">10</t>
  </si>
  <si>
    <t xml:space="preserve">7</t>
  </si>
  <si>
    <t xml:space="preserve">34</t>
  </si>
  <si>
    <t xml:space="preserve">Narrative Proposal; camp split computed proportionally (2:1 girls:boys ratio applied to Annex 3 camp totals)</t>
  </si>
  <si>
    <t xml:space="preserve">Community-Based Learning Facilities (CBLFs) - boys'</t>
  </si>
  <si>
    <t xml:space="preserve">6</t>
  </si>
  <si>
    <t xml:space="preserve">5</t>
  </si>
  <si>
    <t xml:space="preserve">3</t>
  </si>
  <si>
    <t xml:space="preserve">17</t>
  </si>
  <si>
    <t xml:space="preserve">CBLFs total (by camp, per Annex 3)</t>
  </si>
  <si>
    <t xml:space="preserve">16</t>
  </si>
  <si>
    <t xml:space="preserve">15</t>
  </si>
  <si>
    <t xml:space="preserve">51</t>
  </si>
  <si>
    <t xml:space="preserve">Annex 3, PLAN sheet, rows 3-6</t>
  </si>
  <si>
    <t xml:space="preserve">Community Education Support Groups (CESGs, ~1 per 2 CBLFs)</t>
  </si>
  <si>
    <t xml:space="preserve">8</t>
  </si>
  <si>
    <t xml:space="preserve">~26 groups</t>
  </si>
  <si>
    <t xml:space="preserve">FIVDB Detailed Budget, R1A5; camp split = CBLFs per camp / 2, rounded</t>
  </si>
  <si>
    <t xml:space="preserve">CORRECTED: FIVDB's 51 facilities are all CBLFs (34 girls' + 17 boys'), per the Narrative Proposal. GoLFs (Girls-Only Learning Facilities, secondary level) belong to SC, not FIVDB - the earlier 'GoLF included within the 51' assumption was incorrect and has been removed. Camp-wise girls'/boys' split is NOT independently specified in the Narrative Proposal or Annex 3 - it is computed by applying the confirmed overall 2:1 girls:boys ratio (34:17) to each camp's known total facility count (16/15/10/10), rounded to whole facilities; validate the actual per-camp split with PIB once site allocation is finalised.</t>
  </si>
  <si>
    <t xml:space="preserve">A.2 Beneficiary targets - camp-wise (life of project)</t>
  </si>
  <si>
    <t xml:space="preserve">Target (Total)</t>
  </si>
  <si>
    <t xml:space="preserve">Total Days/Sessions (indicative)</t>
  </si>
  <si>
    <t xml:space="preserve">Of whom with disability</t>
  </si>
  <si>
    <t xml:space="preserve">Reference / Basis</t>
  </si>
  <si>
    <t xml:space="preserve">Learners (11-18 years) - Camp 1W</t>
  </si>
  <si>
    <t xml:space="preserve">384</t>
  </si>
  <si>
    <t xml:space="preserve">160</t>
  </si>
  <si>
    <t xml:space="preserve">37 (3% target)</t>
  </si>
  <si>
    <t xml:space="preserve">384 CBLFs 16 x 24 learners/facility; 66.7% female per facility-ratio</t>
  </si>
  <si>
    <t xml:space="preserve">Learners (11-18 years) - Camp 6</t>
  </si>
  <si>
    <t xml:space="preserve">360</t>
  </si>
  <si>
    <t xml:space="preserve">150</t>
  </si>
  <si>
    <t xml:space="preserve">34 (3% target)</t>
  </si>
  <si>
    <t xml:space="preserve">15 CBLFs x 24 learners/facility</t>
  </si>
  <si>
    <t xml:space="preserve">Learners (11-18 years) - Camp 21</t>
  </si>
  <si>
    <t xml:space="preserve">240</t>
  </si>
  <si>
    <t xml:space="preserve">100</t>
  </si>
  <si>
    <t xml:space="preserve">23 (3% target)</t>
  </si>
  <si>
    <t xml:space="preserve">10 CBLFs x 24 learners/facility</t>
  </si>
  <si>
    <t xml:space="preserve">Learners (11-18 years) - Camp 24</t>
  </si>
  <si>
    <t xml:space="preserve">Learners (11-18 years) - TOTAL</t>
  </si>
  <si>
    <t xml:space="preserve">1,224</t>
  </si>
  <si>
    <t xml:space="preserve">-</t>
  </si>
  <si>
    <t xml:space="preserve">51 CBLFs x 24 learners/facility, 2 shifts; matches Narrative Proposal &amp; FIVDB Detailed Budget row 65</t>
  </si>
  <si>
    <t xml:space="preserve">CESG members (7-8 per group, ~26 groups)</t>
  </si>
  <si>
    <t xml:space="preserve">204</t>
  </si>
  <si>
    <t xml:space="preserve">FIVDB Detailed Budget, R1A5; camp split not independently specified</t>
  </si>
  <si>
    <t xml:space="preserve">Parents / caregivers (1 per enrolled child)</t>
  </si>
  <si>
    <t xml:space="preserve">FIVDB Detailed Budget, R1A5; follows learner enrolment 1:1, so mirrors the camp split above</t>
  </si>
  <si>
    <t xml:space="preserve">Teachers / facilitators (refugee + host)</t>
  </si>
  <si>
    <t xml:space="preserve">68</t>
  </si>
  <si>
    <t xml:space="preserve">Annex 2, EiE_PIB tab; 51 refugee + 17 host, camp split not independently specified</t>
  </si>
  <si>
    <t xml:space="preserve">Learners are broken down camp-wise using the direct, defensible relationship confirmed in the Narrative Proposal: each CBLF serves exactly 24 learners (2 shifts) - so Learners per camp = CBLFs per camp (Section A.1) x 24. This gives clean, source-derived numbers (384/360/240/240), not an estimate. The 'Total Days/Sessions' column for camp-level learner rows shows an indicative female sub-count (applying the same 66.7%/33.3% facility-based sex ratio used in A.1) - not an independently confirmed sex split by camp; validate with PIB. CESG members, Parents/caregivers and Teachers do NOT have an independently confirmed camp-wise split in either the Narrative Proposal or FIVDB Detailed Budget - showing the Total only for these rows is more honest than fabricating a camp breakdown; a camp-wise split can be computed once FIVDB confirms actual CESG/teacher deployment per camp.</t>
  </si>
  <si>
    <t xml:space="preserve">B. Child Protection (Result 2) Targets</t>
  </si>
  <si>
    <t xml:space="preserve">B.1 Facility / structure targets</t>
  </si>
  <si>
    <t xml:space="preserve">MPCAC - newly established</t>
  </si>
  <si>
    <t xml:space="preserve">1</t>
  </si>
  <si>
    <t xml:space="preserve">4</t>
  </si>
  <si>
    <t xml:space="preserve">Narrative Proposal; Detailed Budget R2A3</t>
  </si>
  <si>
    <t xml:space="preserve">MPCAC - refurbished</t>
  </si>
  <si>
    <t xml:space="preserve">0</t>
  </si>
  <si>
    <t xml:space="preserve">2</t>
  </si>
  <si>
    <t xml:space="preserve">MPCAC total facility actions</t>
  </si>
  <si>
    <t xml:space="preserve">Case Management Offices</t>
  </si>
  <si>
    <t xml:space="preserve">FIVDB Detailed Budget, R2A1</t>
  </si>
  <si>
    <t xml:space="preserve">Community-Based Child Protection Committees (CBCPCs, 2 per camp x 4 camps)</t>
  </si>
  <si>
    <t xml:space="preserve">FIVDB Detailed Budget, R2A4</t>
  </si>
  <si>
    <t xml:space="preserve">CONFIRMED: MPCAC (4 new + 2 refurbished = 6) matches exactly between the Narrative Proposal and the Detailed Budget. CBCPCs updated to 8 committees (2 per camp x 4 camps, 17 members each = 136 total members) per the Detailed Budget - more precise than the earlier 'indicative 4' estimate.</t>
  </si>
  <si>
    <t xml:space="preserve">B.2 Beneficiary targets (life of project)</t>
  </si>
  <si>
    <t xml:space="preserve">Children in case management (R2A1)</t>
  </si>
  <si>
    <t xml:space="preserve">320</t>
  </si>
  <si>
    <t xml:space="preserve">TBD</t>
  </si>
  <si>
    <t xml:space="preserve">Adolescents in PALS sessions (R2A4)</t>
  </si>
  <si>
    <t xml:space="preserve">2,160</t>
  </si>
  <si>
    <t xml:space="preserve">4,320</t>
  </si>
  <si>
    <t xml:space="preserve">Parents/Caregivers in PALS sessions (R2A4)</t>
  </si>
  <si>
    <t xml:space="preserve">CBCPC members (2 x 4 camps x 17)</t>
  </si>
  <si>
    <t xml:space="preserve">136</t>
  </si>
  <si>
    <t xml:space="preserve">Persons receiving Dignity/MHM kits (CP side, R2A3)</t>
  </si>
  <si>
    <t xml:space="preserve">1,814</t>
  </si>
  <si>
    <t xml:space="preserve">FIVDB Detailed Budget, R2A3</t>
  </si>
  <si>
    <t xml:space="preserve">Community Leaders &amp; Volunteers - DRR/Climate training (R2A4)</t>
  </si>
  <si>
    <t xml:space="preserve">Case management volunteers (2 per camp x 4 camps)</t>
  </si>
  <si>
    <t xml:space="preserve">CP total (FIVDB, indicative, categories overlap)</t>
  </si>
  <si>
    <t xml:space="preserve">See rows above</t>
  </si>
  <si>
    <t xml:space="preserve">UPDATED from the FIVDB Detailed Budget: case management children 314-&gt;320; PALS adolescents/caregivers 4,234-&gt;4,320; CBCPC members 132-&gt;136. Dignity/MHM kits (CP side, 1,814 persons) and the DRR/Climate training cohort (240) are new rows not previously captured. Sex splits marked 'TBD' are not specified in the Budget/Narrative at this level of detail - the CP unique-total row from the previous version has been removed because these categories overlap (e.g. a PALS adolescent may also be a case-management child or CBCPC-linked); summing them would double-count. Validate all figures and true unique headcounts with PIB.</t>
  </si>
  <si>
    <t xml:space="preserve">C. Notes on Combined FIVDB Reach</t>
  </si>
  <si>
    <t xml:space="preserve">A single combined FIVDB headcount (Education + Protection) is not shown here because several Protection categories (PALS adolescents, CBCPC members, case-management children) overlap with each other and potentially with Education learners, and the Budget/Narrative do not provide a de-duplicated total. For consortium-level unique-beneficiary reporting, defer to PIB's consolidated Beneficiary Table rather than summing the rows above.</t>
  </si>
  <si>
    <t xml:space="preserve">6d. Key Milestones - FIVDB (SURAKKHA)</t>
  </si>
  <si>
    <t xml:space="preserve">Every FIVDB sub-activity with its expected completion window, derived live from the same planned-quarter data used in the Activity Tracker (Sheet 8) - Q1 = Jun-Aug 2026 through Q8 = Mar-May 2028.</t>
  </si>
  <si>
    <t xml:space="preserve">Activity Code</t>
  </si>
  <si>
    <t xml:space="preserve">Milestone</t>
  </si>
  <si>
    <t xml:space="preserve">Expected Month/Year of Completion</t>
  </si>
  <si>
    <t xml:space="preserve">Responsible Person</t>
  </si>
  <si>
    <t xml:space="preserve">Result 1: Adolescent girls and boys have sustained access to inclusive, quality learning opportunities in safe, protective, community-based learning facilities.</t>
  </si>
  <si>
    <t xml:space="preserve">R1A1.1</t>
  </si>
  <si>
    <t xml:space="preserve">Conduct household survey through community volunteers to identify out-of-school and dropout children.</t>
  </si>
  <si>
    <t xml:space="preserve">Jun 2026 - May 2027</t>
  </si>
  <si>
    <t xml:space="preserve">R1A1.2</t>
  </si>
  <si>
    <t xml:space="preserve">Conduct technical/disability assessment and screening of identified children (minimum 3% disability target), referring complex cases to Humanity &amp; Inclusion (HI) under FIVDB's MoU.</t>
  </si>
  <si>
    <t xml:space="preserve">R1A1.3</t>
  </si>
  <si>
    <t xml:space="preserve">Print placement/assessment and disability-screening tools.</t>
  </si>
  <si>
    <t xml:space="preserve">R1A2.1</t>
  </si>
  <si>
    <t xml:space="preserve">Provide monthly incentives to host-community teacher volunteers.</t>
  </si>
  <si>
    <t xml:space="preserve">Jun 2026 - May 2028</t>
  </si>
  <si>
    <t xml:space="preserve">R1A2.2</t>
  </si>
  <si>
    <t xml:space="preserve">Provide monthly incentives to refugee-community teacher volunteers.</t>
  </si>
  <si>
    <t xml:space="preserve">R1A2.3</t>
  </si>
  <si>
    <t xml:space="preserve">Distribute scholastic material kits (exercise books, ALP books, drawing books, pens, pencils, water bottle, erasers, sharpeners) to enrolled children, 2 shifts per CBLF.</t>
  </si>
  <si>
    <t xml:space="preserve">R1A2.4</t>
  </si>
  <si>
    <t xml:space="preserve">Distribute one school bag per enrolled child (one-time distribution).</t>
  </si>
  <si>
    <t xml:space="preserve">Jun 2026 - Aug 2026</t>
  </si>
  <si>
    <t xml:space="preserve">R1A2.5</t>
  </si>
  <si>
    <t xml:space="preserve">Provide assistive devices and reasonable accommodation for children with disabilities (device cost only; assessment carried out by HI).</t>
  </si>
  <si>
    <t xml:space="preserve">R1A2.6</t>
  </si>
  <si>
    <t xml:space="preserve">Provide the CBLF minimum package (floor mats, whiteboards, boxes, stationery, cleaning materials).</t>
  </si>
  <si>
    <t xml:space="preserve">R1A2.7</t>
  </si>
  <si>
    <t xml:space="preserve">Install solar panels, lighting and fire extinguishers at all CBLFs.</t>
  </si>
  <si>
    <t xml:space="preserve">R1A2.8</t>
  </si>
  <si>
    <t xml:space="preserve">Cover ongoing CBLF maintenance costs.</t>
  </si>
  <si>
    <t xml:space="preserve">R1A2.9</t>
  </si>
  <si>
    <t xml:space="preserve">Produce and display IEC materials (safeguarding, child protection, PSHEA posters) at all CBLFs.</t>
  </si>
  <si>
    <t xml:space="preserve">R1A2.10</t>
  </si>
  <si>
    <t xml:space="preserve">Provide teacher kits (diary, pens, water bottle, teacher's guide).</t>
  </si>
  <si>
    <t xml:space="preserve">R1A2.11</t>
  </si>
  <si>
    <t xml:space="preserve">Provide teacher kits (bag and umbrella), annual distribution.</t>
  </si>
  <si>
    <t xml:space="preserve">R1A3.1</t>
  </si>
  <si>
    <t xml:space="preserve">Distribute standard MHM kits (reusable pads, underwear, laundry soap) to adolescent girls.</t>
  </si>
  <si>
    <t xml:space="preserve">R1A4.1</t>
  </si>
  <si>
    <t xml:space="preserve">Deliver the 5-day basic training for teaching volunteers (once every 2 years, TiCC-aligned, CBLF-based).</t>
  </si>
  <si>
    <t xml:space="preserve">R1A4.2</t>
  </si>
  <si>
    <t xml:space="preserve">Deliver the 6-day subject-based (ALP curriculum) training for teaching volunteers.</t>
  </si>
  <si>
    <t xml:space="preserve">R1A4.3</t>
  </si>
  <si>
    <t xml:space="preserve">Deliver quarterly refresher training for project personnel and teaching volunteers within the CBLF.</t>
  </si>
  <si>
    <t xml:space="preserve">R1A4.4</t>
  </si>
  <si>
    <t xml:space="preserve">Deliver cascading training for teachers on PSS, gender, SRHR, CAAFAG and referral mechanisms.</t>
  </si>
  <si>
    <t xml:space="preserve">R1A4.5</t>
  </si>
  <si>
    <t xml:space="preserve">Deliver the 2-day cascade training on Protective Education Services for teaching volunteers.</t>
  </si>
  <si>
    <t xml:space="preserve">R1A4.6</t>
  </si>
  <si>
    <t xml:space="preserve">Deliver ToT on Gender-Responsive Pedagogy for Inclusive and Gender-Responsive Learning (staff).</t>
  </si>
  <si>
    <t xml:space="preserve">R1A4.7</t>
  </si>
  <si>
    <t xml:space="preserve">Cascade the Gender-Responsive Pedagogy training from staff ToT to all teaching volunteers.</t>
  </si>
  <si>
    <t xml:space="preserve">R1A4.8</t>
  </si>
  <si>
    <t xml:space="preserve">Deliver ToT on Empowerment: Decision-Making and Resilience for Rohingya Women and Adolescent Girls (staff).</t>
  </si>
  <si>
    <t xml:space="preserve">R1A4.9</t>
  </si>
  <si>
    <t xml:space="preserve">Cascade the Empowerment/Decision-Making/Resilience session from staff ToT to teaching volunteers.</t>
  </si>
  <si>
    <t xml:space="preserve">R1A4.10</t>
  </si>
  <si>
    <t xml:space="preserve">Hold quarterly Male Allyship and Community Leadership Circles for Gender Justice (camp-based, incl. SC).</t>
  </si>
  <si>
    <t xml:space="preserve">Technical Coordinator–Protection</t>
  </si>
  <si>
    <t xml:space="preserve">R1A4.11</t>
  </si>
  <si>
    <t xml:space="preserve">Deliver ToT on Gender Equality in Education for field staff, facilitators and consortium partners.</t>
  </si>
  <si>
    <t xml:space="preserve">R1A4.12</t>
  </si>
  <si>
    <t xml:space="preserve">Cascade the Gender Equality in Education training from ToT to field staff/facilitators.</t>
  </si>
  <si>
    <t xml:space="preserve">R1A4.13</t>
  </si>
  <si>
    <t xml:space="preserve">Facilitate Adolescent Girls' Safe Circles for Leadership and Protection (per centre, peer group).</t>
  </si>
  <si>
    <t xml:space="preserve">R1A4.14</t>
  </si>
  <si>
    <t xml:space="preserve">Hold monthly project progress/coordination meetings.</t>
  </si>
  <si>
    <t xml:space="preserve">Project Manager</t>
  </si>
  <si>
    <t xml:space="preserve">R1A5.1</t>
  </si>
  <si>
    <t xml:space="preserve">Provide SEL storybooks to CBLFs to ensure a joyful learning environment.</t>
  </si>
  <si>
    <t xml:space="preserve">R1A5.2</t>
  </si>
  <si>
    <t xml:space="preserve">Hold bi-monthly CESG meetings (7-8 members per CESG, 1 CESG per 2 CBLFs).</t>
  </si>
  <si>
    <t xml:space="preserve">R1A5.3</t>
  </si>
  <si>
    <t xml:space="preserve">Hold bi-monthly parent/caregiver engagement meetings (1 parent per enrolled child).</t>
  </si>
  <si>
    <t xml:space="preserve">Result 2: Strengthened, inclusive child protection services prevent and respond to protection risks of girls, boys, women and men affected by the Rohingya crisis.</t>
  </si>
  <si>
    <t xml:space="preserve">R2A1.1</t>
  </si>
  <si>
    <t xml:space="preserve">Identify and enhance the capacity of alternative-care family members (foster and kinship) for unaccompanied/separated children (UASC).</t>
  </si>
  <si>
    <t xml:space="preserve">R2A1.2</t>
  </si>
  <si>
    <t xml:space="preserve">Provide case-management need-based and emergency support (NFIs) to children/families in active cases.</t>
  </si>
  <si>
    <t xml:space="preserve">R2A1.3</t>
  </si>
  <si>
    <t xml:space="preserve">Maintain functioning Case Management Offices (1 per camp).</t>
  </si>
  <si>
    <t xml:space="preserve">R2A1.4</t>
  </si>
  <si>
    <t xml:space="preserve">Deliver case management services per the CPMS 7-step process (non-budgetary - covered by CM Officer/volunteer time).</t>
  </si>
  <si>
    <t xml:space="preserve">Case Management Officer</t>
  </si>
  <si>
    <t xml:space="preserve">R2A1.5</t>
  </si>
  <si>
    <t xml:space="preserve">Train para-social workers, volunteers and facilitators on referral pathways.</t>
  </si>
  <si>
    <t xml:space="preserve">R2A1.6</t>
  </si>
  <si>
    <t xml:space="preserve">Provide monthly incentives to case-management volunteers (2 per camp, all refugees) for identification and referral.</t>
  </si>
  <si>
    <t xml:space="preserve">R2A1.7</t>
  </si>
  <si>
    <t xml:space="preserve">Provide support-material kits (case-worker kits) for case-management service providers.</t>
  </si>
  <si>
    <t xml:space="preserve">R2A3.1</t>
  </si>
  <si>
    <t xml:space="preserve">Construct new MPCACs and refurbish existing MPCACs, including running costs.</t>
  </si>
  <si>
    <t xml:space="preserve">R2A3.2</t>
  </si>
  <si>
    <t xml:space="preserve">Roll out 'I Support My Friend' (ISMF) at community level, including inception meeting and adolescent training.</t>
  </si>
  <si>
    <t xml:space="preserve">R2A3.3</t>
  </si>
  <si>
    <t xml:space="preserve">Deploy MPCAC facilitators (refugee volunteers, host-community volunteers, security guards) to run PSS/awareness sessions.</t>
  </si>
  <si>
    <t xml:space="preserve">R2A3.4</t>
  </si>
  <si>
    <t xml:space="preserve">Orient and engage proactive Men and Boys in GBV prevention and response (bi-weekly sessions).</t>
  </si>
  <si>
    <t xml:space="preserve">R2A3.5</t>
  </si>
  <si>
    <t xml:space="preserve">Deliver community-led activities on CP and GBV issues (day/event observation).</t>
  </si>
  <si>
    <t xml:space="preserve">R2A3.6</t>
  </si>
  <si>
    <t xml:space="preserve">Provide Dignity Kits and Menstrual and Hygiene Management (MHM) kit support to adolescent girls (CP side).</t>
  </si>
  <si>
    <t xml:space="preserve">R2A4.1</t>
  </si>
  <si>
    <t xml:space="preserve">Deliver DRR &amp; Climate Resilience training for community leaders and volunteers.</t>
  </si>
  <si>
    <t xml:space="preserve">R2A4.2</t>
  </si>
  <si>
    <t xml:space="preserve">Deliver PALS sessions for parents and adolescents (10-14 sessions per group).</t>
  </si>
  <si>
    <t xml:space="preserve">R2A4.3</t>
  </si>
  <si>
    <t xml:space="preserve">Form/reform CBCPCs and hold monthly/bi-monthly meetings (2 CBCPCs per camp, 17 members each).</t>
  </si>
  <si>
    <t xml:space="preserve">R2A4.4</t>
  </si>
  <si>
    <t xml:space="preserve">Deliver 2-day CBCPC member training, twice yearly (2 CBCPCs/camp x 17 members x 4 camps).</t>
  </si>
  <si>
    <t xml:space="preserve">R2A4.5</t>
  </si>
  <si>
    <t xml:space="preserve">Conduct child-protection risk mapping and develop community-led prevention/response/referral plans.</t>
  </si>
  <si>
    <t xml:space="preserve">R2A4.6</t>
  </si>
  <si>
    <t xml:space="preserve">Deliver Art for Awareness - Interactive Popular Theatre (IPT) and puppet shows for CP &amp; GBV behaviour change.</t>
  </si>
  <si>
    <t xml:space="preserve">R2A5.1</t>
  </si>
  <si>
    <t xml:space="preserve">Deliver capacity-enhancing training for other-sector staff (health, education, nutrition, WASH) on CP integration and case-referral systems.</t>
  </si>
  <si>
    <t xml:space="preserve">R2A5.2</t>
  </si>
  <si>
    <t xml:space="preserve">Hold quarterly coordination meetings with camp service providers (CiC and relevant stakeholders).</t>
  </si>
  <si>
    <t xml:space="preserve">R2A5.3</t>
  </si>
  <si>
    <t xml:space="preserve">Enhance the capacity of implementing partners on CP and operations.</t>
  </si>
  <si>
    <t xml:space="preserve">R2A5.4</t>
  </si>
  <si>
    <t xml:space="preserve">Conduct quarterly joint field-monitoring visits with government officials (CiC office and other actors).</t>
  </si>
  <si>
    <t xml:space="preserve">R2A5.5</t>
  </si>
  <si>
    <t xml:space="preserve">Hold a project inception workshop with relevant stakeholders at camp level.</t>
  </si>
  <si>
    <t xml:space="preserve">6e. Logframe - FIVDB (SURAKKHA)</t>
  </si>
  <si>
    <t xml:space="preserve">Matches the structure of Annex 1 (Logframe) submitted separately to PIB - Level / Ref / Performance Indicator / Target / Agency / Agency Target / Indicator Definition / Comments. Ref codes here (e.g. R1.1) are a THIRD numbering system, distinct from the IPTT's indicator codes (R1-I1) and the Activity Tracker's budget codes (R1A1) - see the Cover sheet FAQ for how the three relate.</t>
  </si>
  <si>
    <t xml:space="preserve">Ref</t>
  </si>
  <si>
    <t xml:space="preserve">Performance Indicator</t>
  </si>
  <si>
    <t xml:space="preserve">Target</t>
  </si>
  <si>
    <t xml:space="preserve">Agency</t>
  </si>
  <si>
    <t xml:space="preserve">Agency Target</t>
  </si>
  <si>
    <t xml:space="preserve">Indicator Definition</t>
  </si>
  <si>
    <t xml:space="preserve">Comments / Clarifications</t>
  </si>
  <si>
    <t xml:space="preserve">Outcome statement</t>
  </si>
  <si>
    <t xml:space="preserve">SO</t>
  </si>
  <si>
    <t xml:space="preserve">Girls and boys, including the most vulnerable and children with disabilities, have safe and equitable access to quality, inclusive non-formal education and child protection services.</t>
  </si>
  <si>
    <t xml:space="preserve">Outcome indicator</t>
  </si>
  <si>
    <t xml:space="preserve">SO.1</t>
  </si>
  <si>
    <t xml:space="preserve">% of beneficiaries reporting that humanitarian assistance is delivered in a safe, accessible, accountable and participatory manner</t>
  </si>
  <si>
    <t xml:space="preserve">85%</t>
  </si>
  <si>
    <t xml:space="preserve">Officially approved Logframe (Annex I) target.</t>
  </si>
  <si>
    <t xml:space="preserve">SO.2</t>
  </si>
  <si>
    <t xml:space="preserve">% targeted girls and boys who are retained in education at the end of the action</t>
  </si>
  <si>
    <t xml:space="preserve">90%</t>
  </si>
  <si>
    <t xml:space="preserve">Denominator = FIVDB's 1,224 enrolled learners.</t>
  </si>
  <si>
    <t xml:space="preserve">Output statement</t>
  </si>
  <si>
    <t xml:space="preserve">R1</t>
  </si>
  <si>
    <t xml:space="preserve">Adolescent girls and boys have sustained access to inclusive, quality learning opportunities in safe, protective, community-based learning facilities.</t>
  </si>
  <si>
    <t xml:space="preserve">Output indicator</t>
  </si>
  <si>
    <t xml:space="preserve">R1.1</t>
  </si>
  <si>
    <t xml:space="preserve">Number of targeted girls and boys enrolled in non-formal education services</t>
  </si>
  <si>
    <t xml:space="preserve">816 girls + 408 boys across 51 CBLFs.</t>
  </si>
  <si>
    <t xml:space="preserve">R1.2</t>
  </si>
  <si>
    <t xml:space="preserve">Number of learning spaces established or restored to minimum standards for safe learning</t>
  </si>
  <si>
    <t xml:space="preserve">34 girls' + 17 boys' CBLFs across Camps 1W, 6, 21, 24.</t>
  </si>
  <si>
    <t xml:space="preserve">R1.3</t>
  </si>
  <si>
    <t xml:space="preserve">Number of teachers provided with teaching aids/materials</t>
  </si>
  <si>
    <t xml:space="preserve">51 refugee + 17 host.</t>
  </si>
  <si>
    <t xml:space="preserve">R1.4</t>
  </si>
  <si>
    <t xml:space="preserve">Number of girls and boys provided with learning materials</t>
  </si>
  <si>
    <t xml:space="preserve">Same 1,224 learners as R1.1.</t>
  </si>
  <si>
    <t xml:space="preserve">R1.5</t>
  </si>
  <si>
    <t xml:space="preserve">Number of teachers/education personnel showing increased knowledge and teaching skills</t>
  </si>
  <si>
    <t xml:space="preserve">100% of FIVDB's own teachers targeted.</t>
  </si>
  <si>
    <t xml:space="preserve">R1.6</t>
  </si>
  <si>
    <t xml:space="preserve">Number of students, teachers and other education personnel provided with psycho-social support services</t>
  </si>
  <si>
    <t xml:space="preserve">68 teachers + 1,224 learners + 1,224 parents/caregivers.</t>
  </si>
  <si>
    <t xml:space="preserve">R1.7</t>
  </si>
  <si>
    <t xml:space="preserve">Number of teachers and other education personnel showing increased knowledge and skills to address protection needs</t>
  </si>
  <si>
    <t xml:space="preserve">FIVDB's own teaching cohort.</t>
  </si>
  <si>
    <t xml:space="preserve">R1.8</t>
  </si>
  <si>
    <t xml:space="preserve">Number of girls and boys referred to specialised services</t>
  </si>
  <si>
    <t xml:space="preserve">~10% of 1,224 enrolled learners (projection).</t>
  </si>
  <si>
    <t xml:space="preserve">R1.9</t>
  </si>
  <si>
    <t xml:space="preserve">% educational facilities carrying out environmental and climate friendly activities day-to-day</t>
  </si>
  <si>
    <t xml:space="preserve">65%</t>
  </si>
  <si>
    <t xml:space="preserve">~33 of FIVDB's 51 CBLFs.</t>
  </si>
  <si>
    <t xml:space="preserve">R2</t>
  </si>
  <si>
    <t xml:space="preserve">Strengthened, inclusive child protection services prevent and respond to protection risks of girls, boys, women and men affected by the Rohingya crisis (FIVDB: Activities 1, 3, 4, 5).</t>
  </si>
  <si>
    <t xml:space="preserve">R2.1</t>
  </si>
  <si>
    <t xml:space="preserve">(MANDATORY) % of children and caregivers whose urgent child protection needs/risks have been addressed</t>
  </si>
  <si>
    <t xml:space="preserve">95%</t>
  </si>
  <si>
    <t xml:space="preserve">320 children in case management, 4 Case Management Offices.</t>
  </si>
  <si>
    <t xml:space="preserve">R2.2</t>
  </si>
  <si>
    <t xml:space="preserve">% of CAAFAG who benefit from appropriate care and services</t>
  </si>
  <si>
    <t xml:space="preserve">80%</t>
  </si>
  <si>
    <t xml:space="preserve">Within FIVDB's caseload.</t>
  </si>
  <si>
    <t xml:space="preserve">R2.3</t>
  </si>
  <si>
    <t xml:space="preserve">Average % knowledge increase amongst participants on the protection subject in focus</t>
  </si>
  <si>
    <t xml:space="preserve">Pre-/post-test knowledge gain.</t>
  </si>
  <si>
    <t xml:space="preserve">R2.4</t>
  </si>
  <si>
    <t xml:space="preserve">(MANDATORY) % of persons who receive appropriate PSS reporting improved wellbeing</t>
  </si>
  <si>
    <t xml:space="preserve">6 MPCACs (4 new + 2 refurbished), PALS reaching 4,320 + 4,320.</t>
  </si>
  <si>
    <t xml:space="preserve">R2.5</t>
  </si>
  <si>
    <t xml:space="preserve">% of caseworkers whose knowledge assessment score is at least 70%</t>
  </si>
  <si>
    <t xml:space="preserve">75%</t>
  </si>
  <si>
    <t xml:space="preserve">Annual Case Worker Capacity Assessment.</t>
  </si>
  <si>
    <t xml:space="preserve">Output indicator (reference)</t>
  </si>
  <si>
    <t xml:space="preserve">R2.Ref</t>
  </si>
  <si>
    <t xml:space="preserve">(MANDATORY) Number of minimum standards for care for survivors achieved</t>
  </si>
  <si>
    <t xml:space="preserve">FIVDB/PLAN</t>
  </si>
  <si>
    <t xml:space="preserve">SC-led overall (Activity 2); FIVDB's role is referral-only. PLAN's own sub-target is 12 (of 31 reviewed); SC's separate target is 16.</t>
  </si>
  <si>
    <t xml:space="preserve">7. Indicator Performance Tracking Table (IPTT) - FIVDB</t>
  </si>
  <si>
    <t xml:space="preserve">&gt;&gt;&gt; SET CURRENT REPORTING QUARTER HERE (1-8):</t>
  </si>
  <si>
    <t xml:space="preserve">(everything in this workbook depends on this cell)</t>
  </si>
  <si>
    <t xml:space="preserve">Consortium baselines/targets from the Logframe (Annex I). FIVDB's LOP Target = indicative FIVDB contribution derived from Annex 2 (EiE_PIB / CP_PIB_V2). 'Linked Activity/ies' shows the primary (first-listed) Activity Tracker SUB-ACTIVITY code (Sheet 8) whose own Linked Indicator(s) field matches this indicator - auto-computed, single source of truth. Where more than one sub-activity feeds the same indicator, the rest are listed in 'Additional Linked Sub-Activities' immediately to its right, rather than crammed into one cell. TARGET columns are auto-calculated from LOP Target using the phasing assumptions below (blue cells = editable inputs). ACTUAL columns: for 'Number'-unit indicators, ACTUAL is now AUTOMATIC - cumulative sum, by quarter, of every Activity Tracker (Sheet 8) sub-activity ACTUAL total whose Linked Indicator(s) matches this indicator's code (light-blue cells; no manual entry, recalculates as Sheets 10-11 are populated). For '%'-unit indicators, FIVDB enters cumulative-to-date achievement directly into the quarter cell (yellow cells; survey/assessment-based - a percentage cannot be derived from headcount sums). Validate all figures with PIB at inception.</t>
  </si>
  <si>
    <t xml:space="preserve">HOW TO READ THIS SHEET - answers to the most common PIB review questions: (1) LOP Target (column O) is always FIVDB's OWN contribution only - never the wider consortium (SC+FIVDB/PLAN) total; the consortium total and the full breakdown behind every composite figure (e.g. 'X teachers + Y learners + Z parents') are always spelled out in the Comments column so every number is traceable, not just asserted. (2) Several '%'-unit LOP Targets across Result 2 look similar (75-95%) because they are the officially approved figures from the same Logframe (Annex I) table, reflecting comparable prior-phase (ECHO HIP 2023) performance baselines across CP/PSS/GBV service lines - not copied from one row to another; each has its own distinct source paragraph in Comments. (3) Result 2 has 5 Activities; FIVDB delivers Activities 1, 3, 4, 5. Activity 2 (adult 18+ GBV case management) is SC-led and explicitly defined in the Narrative Proposal ('Result 2 - Activity 2'), with FIVDB's role limited to referral - this is why it has no FIVDB budget code (R2A2) anywhere in the Activity Tracker. (4) 'Reference' indicator rows (R2-Ref1-3) are led by another consortium agency, shown here for traceability only - FIVDB is not directly accountable for the full consortium figure on those rows. (5) Any Annex number cited in a Comments cell (e.g. Annex 27) refers to an annex of the consortium's DG ECHO Single Form proposal, held by PIB/SC, not a standalone FIVDB document.</t>
  </si>
  <si>
    <t xml:space="preserve">ONGOING-delivery phasing (training, referrals, PSS, case management - accrues continuously) - used only for Status calculation below, not shown per-indicator:</t>
  </si>
  <si>
    <t xml:space="preserve">ENROLMENT/ESTABLISHMENT phasing (learners enrolled, facilities/teachers set up - front-loaded, then RETAINED not re-enrolled):</t>
  </si>
  <si>
    <t xml:space="preserve">RATIONALE for TWO phasing curves, not one: enrolment/establishment-type indicators (learners enrolled, facilities/teachers/kits set up) do NOT grow every quarter - once a learner is enrolled or a CBLF is established, they don't get 're-enrolled' or 're-established' again next quarter; almost all of the growth happens once, early (CBLF opening, initial enrolment drive), then the LOP target is essentially reached and held (minus/plus small dropout replacement, tracked separately in the Dropout Tracker, Sheet 12). Ongoing-delivery indicators (training sessions, referrals, PSS, case management, knowledge assessments) behave differently - they genuinely accrue new instances every quarter as activities continue - so they follow the original S-curve instead. R1-I1, R1-I2, R1-I3 and R1-I4 (enrolment, facilities, teacher/learner materials) use the ENROLMENT/ESTABLISHMENT curve; every other Number-unit indicator uses the ONGOING-delivery curve - edit either blue/orange row directly if FIVDB's actual pattern differs; the Status column recalculates automatically from whichever row it's assigned to.</t>
  </si>
  <si>
    <t xml:space="preserve">Indicator Code</t>
  </si>
  <si>
    <t xml:space="preserve">Linked Activity/ies
(primary sub-activity)</t>
  </si>
  <si>
    <t xml:space="preserve">Additional Linked
Sub-Activities</t>
  </si>
  <si>
    <t xml:space="preserve">Reference Source
(indicator origin)</t>
  </si>
  <si>
    <t xml:space="preserve">Measurement Methodology</t>
  </si>
  <si>
    <t xml:space="preserve">Disaggregation Required</t>
  </si>
  <si>
    <t xml:space="preserve">Baseline</t>
  </si>
  <si>
    <t xml:space="preserve">Target Population /
Denominator (indicative)</t>
  </si>
  <si>
    <t xml:space="preserve">LOP Target
(FIVDB)</t>
  </si>
  <si>
    <t xml:space="preserve">ACTUAL (cumulative, by quarter - auto-linked for Number indicators; FIVDB to complete for % indicators)</t>
  </si>
  <si>
    <t xml:space="preserve">% of LOP
Target Achieved</t>
  </si>
  <si>
    <t xml:space="preserve">Means of
Verification</t>
  </si>
  <si>
    <t xml:space="preserve">Source and Method of Data Collection</t>
  </si>
  <si>
    <t xml:space="preserve">Verification / QA Step</t>
  </si>
  <si>
    <t xml:space="preserve">Support Type
(how they support)</t>
  </si>
  <si>
    <t xml:space="preserve">Risks / Assumptions</t>
  </si>
  <si>
    <t xml:space="preserve">How to Articulate in Narrative Report</t>
  </si>
  <si>
    <t xml:space="preserve">Comments</t>
  </si>
  <si>
    <t xml:space="preserve">CUMULATIVE SEX/AGE DISAGGREGATION (auto, from Sheets 10-11)</t>
  </si>
  <si>
    <t xml:space="preserve">Girls
&lt;18</t>
  </si>
  <si>
    <t xml:space="preserve">Boys
&lt;18</t>
  </si>
  <si>
    <t xml:space="preserve">Women
18+</t>
  </si>
  <si>
    <t xml:space="preserve">Men
18+</t>
  </si>
  <si>
    <t xml:space="preserve">RESULT 1 - EDUCATION IN EMERGENCIES (FIVDB Activities 1-7)</t>
  </si>
  <si>
    <t xml:space="preserve">Result 1</t>
  </si>
  <si>
    <t xml:space="preserve">R1-I1</t>
  </si>
  <si>
    <t xml:space="preserve">R1A1.2, R1A1.3</t>
  </si>
  <si>
    <t xml:space="preserve">Logframe (Annex I), Result 1 indicators - code R1-I1</t>
  </si>
  <si>
    <t xml:space="preserve">Enrolled = registered to participate in non-formal education. NFE is usually not accredited by the national education system (e.g. catch-up programmes, homework support, basic literacy/numeracy, language support, remedial education). For learners enrolled in both formal and complementary NFE services, a clear breakdown of multi-service enrolment must be provided. Disaggregate by sex, NFE type/level of education (primary, lower secondary, upper secondary) and disability.</t>
  </si>
  <si>
    <t xml:space="preserve">Enrolment registers maintained at CBLF level plus daily attendance sheets completed by teaching volunteers, recorded at facility level and compiled regularly by CBLF facilitators.</t>
  </si>
  <si>
    <t xml:space="preserve">Sex, level of education, disability</t>
  </si>
  <si>
    <t xml:space="preserve">Number</t>
  </si>
  <si>
    <t xml:space="preserve">CBLF enrolment registers, daily attendance sheets (compiled quarterly by MEAL focal points)</t>
  </si>
  <si>
    <t xml:space="preserve">Source: enrolment registers maintained at CBLF level, daily attendance sheets completed by teaching volunteers. Method: recorded at facility level, compiled regularly by CBLF facilitators. Frequency: attendance recorded daily; enrolment and quality-monitoring data compiled, validated and reported quarterly by MEAL focal points.</t>
  </si>
  <si>
    <t xml:space="preserve">Monthly PIB spot-check (min. 10% sample) of enrolment registers against attendance records; quarterly FIVDB-PIB reconciliation.</t>
  </si>
  <si>
    <t xml:space="preserve">Attendance recorded daily; enrolment and quality-monitoring data compiled, validated and reported quarterly by MEAL focal points</t>
  </si>
  <si>
    <t xml:space="preserve">Data consolidation, quality assurance &amp; reporting</t>
  </si>
  <si>
    <t xml:space="preserve">New arrivals/relocation may disrupt enrolment tracking; mitigate via regular registry updates and coordination with camp CiC.</t>
  </si>
  <si>
    <t xml:space="preserve">Narrative Proposal, Result 1 Indicator 1: consortium Baseline 1,340 (SC's continuing learners from ECHO HIP 2023) / consortium Target 4,067 (SC 2,843: 2,293 girls, 550 boys; PLAN/FIVDB 1,224: 816 girls, 408 boys, &gt;=3% disability). FIVDB's own baseline is 0 (out-of-school children, all new enrolment). FIVDB target 1,224 confirmed twice: Narrative Proposal AND FIVDB Detailed Budget (kits line item). CLARIFICATION: 1,224 = 816 girls + 408 boys, across 51 CBLFs (34 girls' + 17 boys') x 24 learners/facility x 2 shifts. Age range 11-18 (Narrative Proposal: 'children and adolescents aged 11-18... 51 CBLFs run by PLAN'). Minimum 3% (~37) with disability. Consortium total 4,067 = SC's 2,843 + FIVDB's 1,224 - FIVDB is not accountable for SC's share.</t>
  </si>
  <si>
    <t xml:space="preserve">R1-I2</t>
  </si>
  <si>
    <t xml:space="preserve">R1A2.7, R1A2.8, INC-5, GEN-2</t>
  </si>
  <si>
    <t xml:space="preserve">Logframe (Annex I), Result 1 indicators - code R1-I2</t>
  </si>
  <si>
    <t xml:space="preserve">Learning spaces reported as classroom units (or equivalent) where possible. Minimum standards for safe learning follow the Education Sector Standard guideline (INEE-aligned), covering DRR, safe routes to/from school, minimum accessibility/reasonable accommodation, GBV risk management, WASH standards and student perceptions of safety, with design/implementation gender- and age-responsive in line with the EU Gender-Age Marker.</t>
  </si>
  <si>
    <t xml:space="preserve">Site completion reports, infrastructure assessment and CBLF monitoring checklists, and teaching-volunteer/mentor supervision records, verified against the Education Sector Standard guideline (Annex - Education Sector's Standards).</t>
  </si>
  <si>
    <t xml:space="preserve">N/A (facility-level indicator)</t>
  </si>
  <si>
    <t xml:space="preserve">Site completion reports, infrastructure assessment, CBLF monitoring checklists, photographic documentation</t>
  </si>
  <si>
    <t xml:space="preserve">Source: site completion reports, infrastructure assessment, CBLF monitoring checklists, teaching-volunteer/mentor supervision records. Method: verified against the Education Sector Standard guideline (Annex - Education Sector's Standards). Frequency: regular site visits and monitoring visits by programme and MEAL teams; cross-checked through document review and field validation.</t>
  </si>
  <si>
    <t xml:space="preserve">Quarterly joint FIVDB-PIB site visit against the Facility Monitoring Checklist; photographic evidence retained.</t>
  </si>
  <si>
    <t xml:space="preserve">Regular site visits and monitoring visits by programme and MEAL teams; cross-checked through document review and field validation</t>
  </si>
  <si>
    <t xml:space="preserve">Field data collection &amp; first-line reporting</t>
  </si>
  <si>
    <t xml:space="preserve">Delays in rehab/construction approvals or procurement of materials (solar, fencing) may push completion into later quarters.</t>
  </si>
  <si>
    <t xml:space="preserve">Narrative Proposal, Result 1 Indicator 2: consortium Baseline 66 (SC's existing CBLFs maintained since ECHO HIP 2023) / consortium Target 121 (SC 70: 62 CBLFs+5 GoLFs+1 girls club+1 boys club+1 MPC; PLAN/FIVDB 51 new CBLFs). FIVDB's own baseline is 0 (all 51 CBLFs newly established under this action). CLARIFICATION: 51 = 16 (Camp 1W) + 15 (Camp 6) + 10 (Camp 21) + 10 (Camp 24), per Annex 3 site mapping. All 51 are NEW facilities (FIVDB's own baseline = 0); SC's 70 are separately maintained/continuing facilities from a prior phase, not part of FIVDB's count.</t>
  </si>
  <si>
    <t xml:space="preserve">R1-I3</t>
  </si>
  <si>
    <t xml:space="preserve">R1A2.2, R1A2.10, R1A2.11</t>
  </si>
  <si>
    <t xml:space="preserve">Logframe (Annex I), Result 1 indicators - code R1-I3</t>
  </si>
  <si>
    <t xml:space="preserve">Minimum package = blackboard (or equivalent), textbooks/teaching guides and stationery, including adaptations for teachers/learners with disabilities and materials tailored to identified language needs. Materials may be supplied directly or via logistical/technical/advocacy support to education authorities. Disaggregate by sex, NFE type/level of education and disability.</t>
  </si>
  <si>
    <t xml:space="preserve">Distribution lists, signed receipt forms, muster rolls, attendance sheets and inventory records maintained at partner and learning-facility level, documenting provision of teaching aids/materials to targeted teachers.</t>
  </si>
  <si>
    <t xml:space="preserve">Distribution lists, signed receipt forms, muster rolls, inventory records</t>
  </si>
  <si>
    <t xml:space="preserve">Source: distribution lists, signed receipt forms, muster rolls, attendance sheets, inventory records. Method: maintained at partner and learning-facility level. Frequency: compiled and validated by programme/MEAL staff prior to reporting; verified through routine monitoring visits and spot checks.</t>
  </si>
  <si>
    <t xml:space="preserve">Signed waybills cross-checked against teacher roster; PIB logistics spot-check per distribution round.</t>
  </si>
  <si>
    <t xml:space="preserve">Compiled and validated by programme/MEAL staff prior to reporting; verified through routine monitoring visits and spot checks</t>
  </si>
  <si>
    <t xml:space="preserve">Procurement/supply-chain delays (printing, customs/import for specialised materials) may delay distribution.</t>
  </si>
  <si>
    <t xml:space="preserve">Narrative Proposal, Result 1 Indicator 3: consortium Baseline 93 (SC's continuing teachers from prior action) / consortium Target 168 (SC 100: 79 female, 21 male; PLAN/FIVDB 68: 45 female, 23 male - 51 Rohingya + 17 host). FIVDB's own baseline is 0 (all 68 teachers newly supported under this action). CLARIFICATION: 68 = 1 teacher per CBLF x 51 CBLFs + 17 additional host-community teachers = 45 female + 23 male.</t>
  </si>
  <si>
    <t xml:space="preserve">R1-I4</t>
  </si>
  <si>
    <t xml:space="preserve">R1A2.4, R1A2.5, R1A3.1</t>
  </si>
  <si>
    <t xml:space="preserve">Logframe (Annex I), Result 1 indicators - code R1-I4</t>
  </si>
  <si>
    <t xml:space="preserve">Minimum package = textbooks (or equivalent), reading materials and stationery, including adaptations for learners with disabilities and materials tailored to identified language needs. Where kits are provided per classroom, a content breakdown must justify reasonable provision per child. Disaggregate by sex, NFE type/level of education and disability.</t>
  </si>
  <si>
    <t xml:space="preserve">Distribution lists and learner registers at facility level, with signed beneficiary receipts as primary evidence, verified through Post-Distribution Monitoring (PDM) surveys including PM KOI questions and CBLF monitoring reports.</t>
  </si>
  <si>
    <t xml:space="preserve">Distribution lists, learner registers, signed beneficiary receipts, PDM survey</t>
  </si>
  <si>
    <t xml:space="preserve">Source: distribution lists, learner registers at facility level, signed beneficiary receipts. Method: verified through Post-Distribution Monitoring (PDM) surveys including PM KOI questions and CBLF monitoring reports. Frequency: consolidated, cross-checked and validated by programme/MEAL staff prior to reporting; routine monitoring visits validate the distribution process.</t>
  </si>
  <si>
    <t xml:space="preserve">Distribution records cross-checked against enrolment register to confirm no double-counting or non-enrolled recipients.</t>
  </si>
  <si>
    <t xml:space="preserve">Consolidated, cross-checked and validated by programme/MEAL staff prior to reporting; routine monitoring visits validate the distribution process</t>
  </si>
  <si>
    <t xml:space="preserve">Procurement/supply-chain delays affecting print runs; new enrolments after a distribution round may require top-up kits.</t>
  </si>
  <si>
    <t xml:space="preserve">Narrative Proposal, Result 1 Indicator 4: consortium Baseline 0 (explicit - 'new materials will be distributed under this phase') / consortium Target 4,067 (SC 2,843: 2,293 girls, 550 boys; PLAN/FIVDB all 1,224 unique enrolled learners: 816 girls, 408 boys), aligned with ESWG guidance and the Myanmar Curriculum/ALP levels I-II. CLARIFICATION: Same 1,224 learners as R1-I1 (every enrolled learner receives materials - not an additional/separate group). FIVDB's own baseline = 0 (all new distribution this action).</t>
  </si>
  <si>
    <t xml:space="preserve">R1-I5</t>
  </si>
  <si>
    <t xml:space="preserve">R1A4.2, R1A4.3, R1A4.6, R1A4.7, R1A4.11, R1A4.12</t>
  </si>
  <si>
    <t xml:space="preserve">Number of teachers/education personnel showing increased knowledge and teaching skills to address children's learning needs</t>
  </si>
  <si>
    <t xml:space="preserve">Logframe (Annex I), Result 1 indicators - code R1-I5</t>
  </si>
  <si>
    <t xml:space="preserve">Support = training, mentoring and coaching on skills/strategies to address identified learning needs (e.g. mixed-ability pedagogy, specific course content, basic literacy/numeracy, language pedagogy). Learning needs specified in the comments field. Disaggregate by sex, NFE type/level of education and disability.</t>
  </si>
  <si>
    <t xml:space="preserve">Structured pre- and post-training assessments using a consortium-wide Teacher Assessment Tool aligned with training content, applied during Outcome Assessments; supplemented by classroom observation reports and teacher/student/mentor surveys.</t>
  </si>
  <si>
    <t xml:space="preserve">Sex, role (teacher/other personnel)</t>
  </si>
  <si>
    <t xml:space="preserve">68 teachers/facilitators (training pool)</t>
  </si>
  <si>
    <t xml:space="preserve">Teacher Assessment Tool (pre/post), classroom observation reports, OA survey</t>
  </si>
  <si>
    <t xml:space="preserve">Source: Teacher Assessment Tool (structured pre/post training assessment). Method: applied during Outcome Assessments, supplemented by classroom observation reports and teacher/student/mentor surveys. Frequency: training data compiled quarterly; Outcome Assessment data collected periodically, reviewed through routine monitoring.</t>
  </si>
  <si>
    <t xml:space="preserve">Pre/post test scoring reviewed by Education Coordinator; PIB samples a subset of assessment sheets each quarter.</t>
  </si>
  <si>
    <t xml:space="preserve">Training data compiled quarterly; Outcome Assessment data collected periodically, reviewed through routine monitoring</t>
  </si>
  <si>
    <t xml:space="preserve">Training attendance may be disrupted by seasonal access constraints, competing duties, or facilitator turnover.</t>
  </si>
  <si>
    <t xml:space="preserve">Narrative Proposal, Result 1 Indicator 5: consortium Baseline 84 (SC-supported teachers who demonstrated improved knowledge/skills under ECHO HIP 2023, per the Teacher Assessment Tool) / consortium Target 140 (83% of the pooled 168 teachers: SC 100 + PLAN/FIVDB 68). FIVDB will recruit new teaching volunteers; all receive additional training to strengthen competencies. CLARIFICATION: 68 = all of FIVDB's teachers (same 68 as R1-I3) - FIVDB targets 100% of its own teachers to show improved knowledge/skills. The consortium's 140 (83% of 168) blends SC's lower pass-rate assumption with FIVDB's full-cohort target; the two are not directly comparable 1:1.</t>
  </si>
  <si>
    <t xml:space="preserve">R1-I6</t>
  </si>
  <si>
    <t xml:space="preserve">Logframe (Annex I), Result 1 indicators - code R1-I6</t>
  </si>
  <si>
    <t xml:space="preserve">Psychosocial support (PSS) helps individuals recover after a crisis has disrupted their lives and return to normality after adverse events; limited to non-specialised service provision (not specialised mental health or CP case management). Education personnel may include parent-teacher associations, mothers-students associations, school management associations. Disaggregate by sex, NFE type/level of education, beneficiary type (student/teacher/other) and disability.</t>
  </si>
  <si>
    <t xml:space="preserve">Beneficiary lists, attendance sheets, learning-material distribution registers, and PSS participation reports, compiled by CBLF facilitators and implementing-partner staff.</t>
  </si>
  <si>
    <t xml:space="preserve">Sex, beneficiary type (student/teacher/other), disability</t>
  </si>
  <si>
    <t xml:space="preserve">Beneficiary lists, attendance sheets, PSS participation reports</t>
  </si>
  <si>
    <t xml:space="preserve">Source: beneficiary lists, attendance sheets, learning-material distribution registers, PSS participation reports. Method: compiled by CBLF facilitators and implementing-partner staff. Frequency: monthly monitoring and document checks.</t>
  </si>
  <si>
    <t xml:space="preserve">PSS attendance logs reconciled monthly against enrolment/staff rosters to avoid duplicate counting across sessions.</t>
  </si>
  <si>
    <t xml:space="preserve">Monthly monitoring and document checks</t>
  </si>
  <si>
    <t xml:space="preserve">Uptake may be affected by stigma around PSS/MHPSS or scheduling conflicts with academic sessions.</t>
  </si>
  <si>
    <t xml:space="preserve">Narrative Proposal, Result 1 Indicator 6: consortium Baseline 2,781 (beneficiaries oriented on PFA during ECHO HIP 2023) / consortium Target 8,302 (SC ~5,786: 2,843 learners w/ SEL + 100 teachers w/ PFA/PSS training + 2,843 parents w/ PFA orientation; PLAN/FIVDB 2,516: 68 teachers + 1,224 learners w/ Playful Minds for Wellbeing + 1,224 parents: 612 women, 612 men, via bi-monthly parenting sessions). Corrected from an earlier internal draft that showed 2,741 - the breakdown always summed to 2,516; the LOP Target has been aligned to match. CLARIFICATION: 2,516 = 68 teachers + 1,224 learners (all of R1-I1) + 1,224 parents/caregivers (1 per enrolled learner, 612 women + 612 men via bi-monthly parenting sessions). This LOP target was corrected from an earlier internal draft that showed 2,741 - the breakdown always summed to 2,516; the target figure is now aligned to match.</t>
  </si>
  <si>
    <t xml:space="preserve">R1-I7</t>
  </si>
  <si>
    <t xml:space="preserve">Number of teachers and other education personnel showing increased knowledge and skills to address the protection needs of girls and boys</t>
  </si>
  <si>
    <t xml:space="preserve">Logframe (Annex I), Result 1 indicators - code R1-I7</t>
  </si>
  <si>
    <t xml:space="preserve">Other education personnel may include parent-teacher associations, mothers-students associations, school management associations. Protection needs defined per context (child protection, PSS, SGBV information, mine/UXO risk education, HIV/AIDS, nutrition, health/hygiene, gender-sensitive and conflict-sensitive education). Disaggregate by sex, NFE type/level of education and disability.</t>
  </si>
  <si>
    <t xml:space="preserve">Pre- and post-training assessment records, observation checklists, and supervision visit reports, compiled by CBLF teaching volunteers, implementing partners and Education Officers.</t>
  </si>
  <si>
    <t xml:space="preserve">Sex, role</t>
  </si>
  <si>
    <t xml:space="preserve">Pre/post training assessment records, observation checklists, supervision reports</t>
  </si>
  <si>
    <t xml:space="preserve">Source: pre/post training assessment records, observation checklists, supervision visit reports. Method: compiled by CBLF teaching volunteers, implementing partners and Education Officers. Frequency: quarterly; Outcome Assessment data collected periodically.</t>
  </si>
  <si>
    <t xml:space="preserve">Pre/post assessment scores reviewed by Education Coordinator; PIB technical review of training content each cycle.</t>
  </si>
  <si>
    <t xml:space="preserve">Quarterly; Outcome Assessment data collected periodically</t>
  </si>
  <si>
    <t xml:space="preserve">Turnover of trained teachers/facilitators may erode cumulative protection knowledge within the workforce.</t>
  </si>
  <si>
    <t xml:space="preserve">Narrative Proposal, Result 1 Indicator 7: consortium Baseline 280 (CESG members trained under ECHO HIP 2023) / consortium Target 408 (SC 240: 140 CESG members across 35 CESGs + 100 teachers; PLAN/FIVDB 168: 68 teachers/education personnel + 100 members across ~26 CESGs). CLARIFICATION: FIVDB's own contribution to the consortium's 168 sub-total is 68 teachers only (the 100 CESG members in that 168 figure sit under R1-I6-adjacent community-engagement activities, not 'other education personnel' here) - see Activity Tracker R1A4 rows for the exact training cohorts.</t>
  </si>
  <si>
    <t xml:space="preserve">R1-I8</t>
  </si>
  <si>
    <t xml:space="preserve">R1-A4</t>
  </si>
  <si>
    <t xml:space="preserve">Number of girls and boys referred to specialised services (e.g. child protection, health, MHPSS)</t>
  </si>
  <si>
    <t xml:space="preserve">Logframe (Annex I), Result 1 indicators - code R1-I8</t>
  </si>
  <si>
    <t xml:space="preserve">Referrals must be based on up-to-date referral mechanisms assessing both availability and quality of service delivery. Disaggregate by sex, NFE type/level of education and disability.</t>
  </si>
  <si>
    <t xml:space="preserve">Standardized referral logbooks and case-management databases maintained by implementing partners and service providers; trained case workers record referral type, pathway and expected feedback timelines, disaggregated by sex, age, disability and sector.</t>
  </si>
  <si>
    <t xml:space="preserve">Referral logbook, case management database</t>
  </si>
  <si>
    <t xml:space="preserve">Source: standardized referral logbooks, case-management databases. Method: maintained by implementing partners and service providers; trained case workers record referral type, pathway and expected feedback timelines, disaggregated by sex, age, disability and sector. Frequency: referral data collected and reviewed monthly; reported through partner progress reports and quarterly project reports.</t>
  </si>
  <si>
    <t xml:space="preserve">Referral tracker cross-checked monthly against confirmation received from CP/Health/MHPSS receiving services.</t>
  </si>
  <si>
    <t xml:space="preserve">Referral data collected and reviewed monthly; reported through partner progress reports and quarterly project reports</t>
  </si>
  <si>
    <t xml:space="preserve">Referral-pathway bottlenecks at receiving CP/Health services may delay confirmed uptake, understating the indicator.</t>
  </si>
  <si>
    <t xml:space="preserve">Narrative Proposal, Result 1 Indicator 8: consortium Baseline 0 / consortium Target 406, projected at ~10% of enrolled learners requiring referral (SC ~284 of 2,843; PLAN/FIVDB ~122 of 1,224). Explicitly noted as a projection based on historical trends that may vary depending on identified needs. Corrected from an earlier internal draft that showed 131 - the 10% calculation always gave ~122; the LOP Target has been aligned to match. CLARIFICATION: 122 = ~10% of 1,224 enrolled learners. Explicitly a projection, not a fixed quota - referral volume 'may vary depending on identified needs' per the Narrative Proposal. This LOP target was corrected from an earlier internal draft that showed 131.</t>
  </si>
  <si>
    <t xml:space="preserve">R1-I9</t>
  </si>
  <si>
    <t xml:space="preserve">R1-A1</t>
  </si>
  <si>
    <t xml:space="preserve">% educational facilities that are carrying out environmental and climate friendly activities day-to-day</t>
  </si>
  <si>
    <t xml:space="preserve">Logframe (Annex I), Result 1 indicators - code R1-I9</t>
  </si>
  <si>
    <t xml:space="preserve">Environmental/climate-friendly activities may take place during the school day (lesson modules) or after school (extra-curricular). Examples: planting/maintaining school (vegetable) gardens, tree planting, solid waste sorting, upcycling, energy/water-consumption reduction actions.</t>
  </si>
  <si>
    <t xml:space="preserve">Activity and event reports, photographic documentation, observation reports, and monitoring visit reports, compiled by Education MIS and MEAL staff.</t>
  </si>
  <si>
    <t xml:space="preserve">51 FIVDB-supported facilities</t>
  </si>
  <si>
    <t xml:space="preserve">%</t>
  </si>
  <si>
    <t xml:space="preserve">Activity/event reports, photographic documentation, monitoring visit reports</t>
  </si>
  <si>
    <t xml:space="preserve">Source: activity and event reports, photographic documentation, observation reports, monitoring visit reports. Method: compiled by Education MIS and MEAL staff. Frequency: monthly and quarterly reporting; routine monitoring visits.</t>
  </si>
  <si>
    <t xml:space="preserve">Facility Monitoring Checklist verified on-site quarterly; photographic evidence of the activity retained.</t>
  </si>
  <si>
    <t xml:space="preserve">Monthly and quarterly reporting; routine monitoring visits</t>
  </si>
  <si>
    <t xml:space="preserve">Environmental activities may be deprioritised against core education delivery if resources/time are constrained.</t>
  </si>
  <si>
    <t xml:space="preserve">[P]% of FIVDB-supported facilities ([X] of 51) were implementing environmental/climate-friendly activities as of [date], against a 65% target.</t>
  </si>
  <si>
    <t xml:space="preserve">Narrative Proposal, Result 1 Indicator 9: consortium Baseline 0% (pilot intervention, not previously implemented) / consortium Target 65% of all 121 supported facilities (SC: 70 facilities target &gt;=33 implementing; PLAN/FIVDB: 51 CBLFs target &gt;=33 implementing), primarily via homestead vertical gardening adapted to the camp context. CLARIFICATION: 65% of FIVDB's 51 CBLFs = ~33 facilities. This is the officially approved consortium-wide %, applied identically to FIVDB's own facility count (not an FIVDB-specific calculation).</t>
  </si>
  <si>
    <t xml:space="preserve">N/A</t>
  </si>
  <si>
    <t xml:space="preserve">RESULT 2 - CHILD PROTECTION (FIVDB Activities 1, 3, 4, 5)</t>
  </si>
  <si>
    <t xml:space="preserve">Result 2</t>
  </si>
  <si>
    <t xml:space="preserve">R2-I1</t>
  </si>
  <si>
    <t xml:space="preserve">R2A1.3, R2A1.4, R2A1.6, R2A1.7</t>
  </si>
  <si>
    <t xml:space="preserve">(MANDATORY) % of children and caregivers whose urgent child protection needs/risks have been addressed through the case management process</t>
  </si>
  <si>
    <t xml:space="preserve">Logframe (Annex I), Result 2 indicators - code R2-I1</t>
  </si>
  <si>
    <t xml:space="preserve">Numerator = children and caregivers surveyed reporting their urgent child protection needs were addressed via the case-management (CM) process. Denominator = total children and caregivers surveyed who received CM. Survey administered at case closure or case follow-up; children and caregivers measured separately. Case-management quality demonstrated by meeting the CP Case Management Minimum Standards in Humanitarian Settings (7-step process).</t>
  </si>
  <si>
    <t xml:space="preserve">CPIMS+, case management registers, individual case files/hard-copy case records, and survey reports, recorded by caseworkers.</t>
  </si>
  <si>
    <t xml:space="preserve">Children and caregivers measured separately; sex, age</t>
  </si>
  <si>
    <t xml:space="preserve">~320 FIVDB case-management caseload (A1)</t>
  </si>
  <si>
    <t xml:space="preserve">CPIMS+, case management registers, individual case files, survey reports</t>
  </si>
  <si>
    <t xml:space="preserve">Source: CPIMS+, case management registers, individual case files/hard-copy case records, survey reports. Method: recorded by caseworkers, per the CP Case Management Minimum Standards (7-step process). Frequency: case reporting monthly; satisfaction survey reports annually.</t>
  </si>
  <si>
    <t xml:space="preserve">PIB technical supervisor reviews a sample of closed case files each month against closure-survey responses.</t>
  </si>
  <si>
    <t xml:space="preserve">Case reporting monthly; satisfaction survey reports annually</t>
  </si>
  <si>
    <t xml:space="preserve">Field data collection, case oversight &amp; first-line reporting</t>
  </si>
  <si>
    <t xml:space="preserve">Case backlog if caseworker-to-case ratio exceeds CPMS standards; high mobility of families may disrupt follow-up.</t>
  </si>
  <si>
    <t xml:space="preserve">[P]% of children and caregivers surveyed reported that their urgent child protection needs were addressed through FIVDB's case management process during [reporting period], against a 95% target.</t>
  </si>
  <si>
    <t xml:space="preserve">Narrative Proposal, Result 2 Indicator 1 (mandatory): Baseline 0 (not systematically tracked pre-action) / Target 95%, based on performance achieved in previous ECHO-funded CP case management in Cox's Bazar, factoring anticipated caseload/complexity, staffing/supervision capacity and planned investment in caseworker training and quality referrals. CLARIFICATION: 95% is the officially approved Logframe (Annex I) target, not FIVDB-set. R2-I1 through R2-I5 percentages cluster in the 75-95% range because they come from the same approved Logframe table and comparable ECHO HIP 2023 baselines - each has its own distinct source paragraph in the Narrative Proposal, not a copied figure.</t>
  </si>
  <si>
    <t xml:space="preserve">R2-I2</t>
  </si>
  <si>
    <t xml:space="preserve">% of children separated from or allegedly associated with armed groups and armed forces who benefit from appropriate care and services</t>
  </si>
  <si>
    <t xml:space="preserve">Logframe (Annex I), Result 2 indicators - code R2-I2</t>
  </si>
  <si>
    <t xml:space="preserve">Children Associated with Armed Forces and Armed Groups (CAAFAG) = all children, including girls, under age 18 who are or have been recruited or used by any armed force or group in any capacity. Numerator = identified CAAFAG children who receive care/services. Denominator = total identified CAAFAG children. Appropriate care/services can include health care, education, legal aid, MHPSS, interim care, reintegration into family/community. Measure each service separately.</t>
  </si>
  <si>
    <t xml:space="preserve">CPIMS+, case management registers, individual case files/hard-copy case records, and relevant survey reports, recorded by caseworkers.</t>
  </si>
  <si>
    <t xml:space="preserve">Sex, age</t>
  </si>
  <si>
    <t xml:space="preserve">Subset of 314 caseload (# CAAFAG confirmed at identification)</t>
  </si>
  <si>
    <t xml:space="preserve">Case management database</t>
  </si>
  <si>
    <t xml:space="preserve">Source: CPIMS+, case management registers, individual case files/hard-copy case records, relevant survey reports. Method: recorded by caseworkers, measured per service type separately. Frequency: case data daily; reporting monthly; survey reports annually.</t>
  </si>
  <si>
    <t xml:space="preserve">Case-file review cross-checked with service-provision records (health, education, legal aid, MHPSS, interim care).</t>
  </si>
  <si>
    <t xml:space="preserve">Case data daily; reporting monthly; survey reports annually</t>
  </si>
  <si>
    <t xml:space="preserve">Under-identification of CAAFAG cases due to stigma/fear of reprisal; service availability gaps at receiving agencies.</t>
  </si>
  <si>
    <t xml:space="preserve">[P]% of identified CAAFAG children benefited from at least one appropriate care/service during [reporting period], against an 80% target.</t>
  </si>
  <si>
    <t xml:space="preserve">Narrative Proposal, Result 2 Indicator 2 (CAAFAG): Baseline 0% (no action-specific reference value) / Target 80%, informed by previous ECHO-funded CAAFAG/CP programming in Cox's Bazar, factoring expected caseload, sensitivity/complexity of CAAFAG cases, security/access constraints, and referral-pathway capacity. CLARIFICATION: 80% applies only to children identified as CAAFAG within FIVDB's caseload - not a general child-protection percentage across all 320 case-management children.</t>
  </si>
  <si>
    <t xml:space="preserve">R2-I3</t>
  </si>
  <si>
    <t xml:space="preserve">R2A4.1, R2A4.4, R2A5.1, R2A5.3</t>
  </si>
  <si>
    <t xml:space="preserve">Logframe (Annex I), Result 2 indicators - code R2-I3</t>
  </si>
  <si>
    <t xml:space="preserve">Comments field defines: type of participants (population/authorities/armed forces/armed groups etc.), number of expected participants, and subject of training. Reports disaggregate number of participants by age and sex.</t>
  </si>
  <si>
    <t xml:space="preserve">Pre-test and post-test assessment forms, training attendance records, and capacity assessment survey questionnaires, compiled by CP, MIS and MEAL focal points.</t>
  </si>
  <si>
    <t xml:space="preserve">Age, sex</t>
  </si>
  <si>
    <t xml:space="preserve">FIVDB frontline staff/volunteers attending R2-A5 trainings</t>
  </si>
  <si>
    <t xml:space="preserve">Pre/post assessment forms, training attendance records, capacity assessment survey</t>
  </si>
  <si>
    <t xml:space="preserve">Source: pre-test and post-test assessment forms, training attendance records, capacity assessment survey questionnaires. Method: compiled by CP, MIS and MEAL focal points; participant type/number/subject specified in comments. Frequency: assessment reports monthly; comprehensive training reports quarterly; survey reports annually.</t>
  </si>
  <si>
    <t xml:space="preserve">MEAL Officer verifies pre/post test scoring for each session; PIB reviews a sample of training packs quarterly.</t>
  </si>
  <si>
    <t xml:space="preserve">Assessment reports monthly; comprehensive training reports quarterly; survey reports annually</t>
  </si>
  <si>
    <t xml:space="preserve">High staff/volunteer turnover may erode cumulative knowledge retention between training cycles.</t>
  </si>
  <si>
    <t xml:space="preserve">Frontline staff and volunteers trained by FIVDB showed an average knowledge increase of [P]% during [reporting period], against an 80% target.</t>
  </si>
  <si>
    <t xml:space="preserve">Narrative Proposal, Result 2 Indicator 3: Baseline 0% (increase is measured through pre/post tests introduced under the action) / Target 80% average knowledge increase, informed by performance in previous HIP activities. Consortium-wide, this indicator covers an estimated 4,805 unique participants (carers, adolescents, community leaders, para-social workers, volunteers, multi-sector staff) across all capacity-building activities on protection subjects. CLARIFICATION: Measures average knowledge GAIN (post-test minus pre-test, divided by pre-test), not an absolute post-test score.</t>
  </si>
  <si>
    <t xml:space="preserve">R2A3.2, R2A3.3, R2A3.4, R2A3.5, R2A3.6, R2A4.2, R2A4.3, R2A4.5, R2A4.6, INC-5, GEN-2</t>
  </si>
  <si>
    <t xml:space="preserve">(MANDATORY) % of persons who receive appropriate PSS reporting improved mental health and psychosocial well-being OR capacities to cope</t>
  </si>
  <si>
    <t xml:space="preserve">Logframe (Annex I), Result 2 indicators - code R2-I4</t>
  </si>
  <si>
    <t xml:space="preserve">Mental health and psychosocial wellbeing measured using one of the six IASC Common M&amp;E Framework domains: functioning; subjective wellbeing; disabling distress/symptoms; coping; social behaviour; social connectedness. Delivered as a layered system of complementary supports, with safe, confidential, timely referrals, per IASC MHPSS in Emergency Settings Guideline and the MHPSS Minimum Service Package.</t>
  </si>
  <si>
    <t xml:space="preserve">Standardized pre- and post-assessment tools (validated for context/language), wellbeing surveys, focus group discussions, key informant interviews, case files, and MHPSS activity records, following the IASC Common M&amp;E Framework.</t>
  </si>
  <si>
    <t xml:space="preserve">Sex, age; IASC domain used</t>
  </si>
  <si>
    <t xml:space="preserve">~8,640 in PALS/MPCAC/WGSS/community groups (A3-A4)</t>
  </si>
  <si>
    <t xml:space="preserve">Pre/post PSS assessment tool (IASC domains), wellbeing surveys, case files</t>
  </si>
  <si>
    <t xml:space="preserve">Source: standardized pre-/post-assessment tools (validated for context/language), wellbeing surveys, focus group discussions, key informant interviews, case files, MHPSS activity records. Method: following the IASC Common M&amp;E Framework (6 domains). Frequency: recorded at PSS phase start/end; compiled monthly for ongoing monitoring; comprehensive outcome reports (quantitative + qualitative) annually.</t>
  </si>
  <si>
    <t xml:space="preserve">PIB technical supervisor reviews a sample of pre/post assessment pairs each quarter for consistency.</t>
  </si>
  <si>
    <t xml:space="preserve">Recorded at PSS phase start/end; compiled monthly for ongoing monitoring; comprehensive outcome reports (quantitative + qualitative) annually</t>
  </si>
  <si>
    <t xml:space="preserve">Under-reporting of distress due to stigma; drop-out between group entry and exit reduces paired-assessment sample size.</t>
  </si>
  <si>
    <t xml:space="preserve">[P]% of persons receiving psychosocial support through FIVDB's MPCAC/WGSS/community-group sessions reported improved wellbeing or coping during [reporting period], against an 80% target.</t>
  </si>
  <si>
    <t xml:space="preserve">Narrative Proposal, Result 2 Indicator 7 (mandatory): Baseline 0% (wellbeing/coping can only be measured after participants complete PSS support) / Target 80%, justified by previous PSS intervention results, the IASC-aligned package delivered through MPCACs/WGSSs, trained facilitators, and functioning referral pathways. CLARIFICATION: Numbered 'Result 2 Indicator 7' in the consortium's full 8-indicator Result 2 set (3 of the 8 are SC-led GBV-specific reference items tracked separately - see R2-Ref rows).</t>
  </si>
  <si>
    <t xml:space="preserve">R2-I5</t>
  </si>
  <si>
    <t xml:space="preserve">INC-12</t>
  </si>
  <si>
    <t xml:space="preserve">Logframe (Annex I), Result 2 indicators - code R2-I5</t>
  </si>
  <si>
    <t xml:space="preserve">Numerator = case workers who score 70% or higher on the knowledge assessment. Denominator = case workers who finalised the Case Worker Capacity Assessment. Assesses caseworker attitudes, knowledge and skills against minimum competency standards for case management service providers, identifying possible service-quality gaps.</t>
  </si>
  <si>
    <t xml:space="preserve">Case Worker Capacity Assessment Tool, applied by implementing-partner staff and the consortium's Case Management/MEAL teams.</t>
  </si>
  <si>
    <t xml:space="preserve">Sex</t>
  </si>
  <si>
    <t xml:space="preserve">All active FIVDB case workers</t>
  </si>
  <si>
    <t xml:space="preserve">Case Worker Capacity Assessment Tool</t>
  </si>
  <si>
    <t xml:space="preserve">Source: Case Worker Capacity Assessment Tool. Method: applied by implementing-partner staff and the consortium's Case Management/MEAL teams, assessed against minimum competency standards for case management service providers. Frequency: annually.</t>
  </si>
  <si>
    <t xml:space="preserve">PIB technical supervisor co-scores a sample of assessments to check inter-rater consistency.</t>
  </si>
  <si>
    <t xml:space="preserve">Annually</t>
  </si>
  <si>
    <t xml:space="preserve">High case-worker turnover may mean new starters are assessed before consolidating knowledge; coaching capacity constraints.</t>
  </si>
  <si>
    <t xml:space="preserve">[P]% of FIVDB case workers assessed scored 70% or above on the Case Worker Capacity Assessment during [reporting period], against a 75% target.</t>
  </si>
  <si>
    <t xml:space="preserve">Narrative Proposal, Result 2 Indicator 8 (Protection of individuals): Baseline 75% expected pass rate is itself the assumption underpinning the target - the Narrative states 'it is expected that at least 75% of trainees will achieve a minimum score of 70%'. Results to be disaggregated by agency (SC/PLAN), sex, age, disability status and role where feasible. CLARIFICATION: Numerator = caseworkers scoring &gt;=70%; Denominator = caseworkers who completed the assessment (not all caseworkers on payroll, only those assessed).</t>
  </si>
  <si>
    <t xml:space="preserve">RESULT 2 - REFERENCE ONLY: GBV Case Management (SC-led, Activity 2 - NOT delivered by FIVDB)</t>
  </si>
  <si>
    <t xml:space="preserve">Result 2 (ref.)</t>
  </si>
  <si>
    <t xml:space="preserve">R2-Ref1</t>
  </si>
  <si>
    <t xml:space="preserve">R2-A2 (SC)</t>
  </si>
  <si>
    <t xml:space="preserve">Logframe (Annex I), Result 2 indicators - SC-led (reference only, not FIVDB-delivered)</t>
  </si>
  <si>
    <t xml:space="preserve">For baseline: Numerator = minimum standards of care for survivors met prior to action start. Denominator = total minimum standards of care for survivors. For target: Numerator = standards met prior to action start PLUS standards to be met within the action timeframe. Denominator = total minimum standards. Checklist contextualised and submitted at proposal stage.</t>
  </si>
  <si>
    <t xml:space="preserve">Structured service quality assessment using a contextualized GBV Minimum Standards Checklist (adapted from the Inter-Agency GBV Case Management Guidelines, 2017); only standards assessed as 'Met' count toward the numerator; consolidated at service-point level and validated by GBV supervisors.</t>
  </si>
  <si>
    <t xml:space="preserve">N/A (standards checklist, SC-led)</t>
  </si>
  <si>
    <t xml:space="preserve">GBV minimum standards checklist</t>
  </si>
  <si>
    <t xml:space="preserve">Source: contextualized GBV Minimum Standards Checklist (adapted from the Inter-Agency GBV Case Management Guidelines, 2017). Method: only standards assessed as 'Met' count toward the numerator; consolidated at service-point level and validated by GBV supervisors. Frequency: initial assessment followed by quarterly monitoring.</t>
  </si>
  <si>
    <t xml:space="preserve">N/A - SC-led verification.</t>
  </si>
  <si>
    <t xml:space="preserve">Initial assessment followed by quarterly monitoring</t>
  </si>
  <si>
    <t xml:space="preserve">SC</t>
  </si>
  <si>
    <t xml:space="preserve">Not a FIVDB risk owner - dependent on SC's GBV case-management capacity and standards implementation.</t>
  </si>
  <si>
    <t xml:space="preserve">Narrative Proposal, Result 2 Indicator 5 (GBV, mandatory, minimum standards for survivor care): Baseline 0 (checklist-based measurement introduced under this action). Based on a review of 31 minimum standards (Annex 27): SC target = 16 standards (reflecting its EiE, protection and health interventions); PLAN target = 12 standards (aligned with its EiE and Child Protection interventions - separate from, and not solely 'SC-led', though FIVDB's own role in the underlying GBV case management activity, R2-A2, remains referral-only). CLARIFICATION: Annex 27 = the GBV Minimum Standards Checklist referenced in the Narrative Proposal (Result 2, Activity 2 section) - an annex to the consortium's DG ECHO Single Form, held by PIB/SC, not a standalone FIVDB document. This row is shown for traceability only; FIVDB is not directly accountable for it since the underlying Activity 2 is SC-led.</t>
  </si>
  <si>
    <t xml:space="preserve">R2-Ref2</t>
  </si>
  <si>
    <t xml:space="preserve">Number of individuals benefiting from GBV response services (SC-led, R2-A2)</t>
  </si>
  <si>
    <t xml:space="preserve">Covers response services to survivors of GBV (women, men, girls, boys); disaggregated by age, sex and service(s) received; strategies applied to avoid double counting.</t>
  </si>
  <si>
    <t xml:space="preserve">SC's GBV case-management database. FIVDB contributes only via safe identification/referral, not direct service delivery, so this indicator is tracked by SC, not FIVDB.</t>
  </si>
  <si>
    <t xml:space="preserve">Age, sex, service type (SC-led)</t>
  </si>
  <si>
    <t xml:space="preserve">GBV case management database (SC)</t>
  </si>
  <si>
    <t xml:space="preserve">Not specified in Narrative Proposal - to be defined by FIVDB/PIB.</t>
  </si>
  <si>
    <t xml:space="preserve">n/a</t>
  </si>
  <si>
    <t xml:space="preserve">Not a FIVDB risk owner - dependent on SC's GBV case-management capacity.</t>
  </si>
  <si>
    <t xml:space="preserve">Not reported in FIVDB's own narrative - this is delivered by SC under Result 2-Activity 2. Where relevant, describe FIVDB's referral contribution qualitatively rather than against this target.</t>
  </si>
  <si>
    <t xml:space="preserve">Consortium target 750 - not FIVDB-delivered; referral only</t>
  </si>
  <si>
    <t xml:space="preserve">R2-Ref3</t>
  </si>
  <si>
    <t xml:space="preserve">% of GBV high-risk cases supervised (SC-led, R2-A2)</t>
  </si>
  <si>
    <t xml:space="preserve">Numerator = total high-risk cases reviewed by a supervisor. Denominator = total high-risk cases in the case-management process. High-risk = immediate threat to survivor safety/health requiring urgent action.</t>
  </si>
  <si>
    <t xml:space="preserve">SC's GBV supervision log (one-on-one, group, on-the-job observation/coaching, team meetings). Not applicable to FIVDB, which does not hold GBV case-management caseload under R2-A2.</t>
  </si>
  <si>
    <t xml:space="preserve">N/A (case-level, SC-led)</t>
  </si>
  <si>
    <t xml:space="preserve">Not a FIVDB risk owner - FIVDB has no GBV case-management caseload under R2-A2.</t>
  </si>
  <si>
    <t xml:space="preserve">Not reported in FIVDB's own narrative - this is delivered by SC under Result 2-Activity 2; FIVDB has no caseload against this indicator.</t>
  </si>
  <si>
    <t xml:space="preserve">Consortium target 95% - not FIVDB-delivered; referral only</t>
  </si>
  <si>
    <t xml:space="preserve">SPECIFIC-OBJECTIVE / CROSS-CUTTING INDICATORS</t>
  </si>
  <si>
    <t xml:space="preserve">Specific objective</t>
  </si>
  <si>
    <t xml:space="preserve">R1A5.3, INC-6, GEN-4</t>
  </si>
  <si>
    <t xml:space="preserve">Logframe (Annex I), Specific Objective indicators - code SO-I1</t>
  </si>
  <si>
    <t xml:space="preserve">This is more a process than an outcome indicator; DG ECHO wants to ensure sufficient attention is given to protection mainstreaming so corrective measures are identified and implemented when required during the action. At reporting stage, also state the total number of beneficiaries interviewed. Disaggregate figures (% and absolute numbers) by sex, age and disability.</t>
  </si>
  <si>
    <t xml:space="preserve">KOI perception surveys, Post-Distribution Monitoring (PDM) reports, client satisfaction surveys, and outcome assessment reports, administered by skilled enumerators and implementing-partner staff.</t>
  </si>
  <si>
    <t xml:space="preserve">Sex, age, disability</t>
  </si>
  <si>
    <t xml:space="preserve">Survey sample (size confirmed per round)</t>
  </si>
  <si>
    <t xml:space="preserve">Community perception survey</t>
  </si>
  <si>
    <t xml:space="preserve">Source: KOI perception surveys, Post-Distribution Monitoring (PDM) reports, client satisfaction surveys, outcome assessment reports. Method: administered by skilled enumerators and implementing-partner staff, disaggregated by sex, age and disability. Frequency: every four months, plus annual reporting.</t>
  </si>
  <si>
    <t xml:space="preserve">Survey tool piloted and reviewed by PIB M&amp;E before each round; data entry double-checked against paper/digital forms.</t>
  </si>
  <si>
    <t xml:space="preserve">Every four months, plus annual reporting</t>
  </si>
  <si>
    <t xml:space="preserve">Survey response bias or low response rate; sensitive questions may be under-reported without skilled enumerators.</t>
  </si>
  <si>
    <t xml:space="preserve">[P]% of [N] beneficiaries surveyed in FIVDB's camps reported that assistance was delivered safely, accessibly, accountably and participatorily, against an 85% target.</t>
  </si>
  <si>
    <t xml:space="preserve">Consortium specific-objective target 85%; FIVDB tracks its respondent share</t>
  </si>
  <si>
    <t xml:space="preserve">SO-I2</t>
  </si>
  <si>
    <t xml:space="preserve">R1-A1 to R1-A7</t>
  </si>
  <si>
    <t xml:space="preserve">Logframe (Annex I), Specific Objective indicators - code SO-I2</t>
  </si>
  <si>
    <t xml:space="preserve">Measures the % of children targeted for EiE support who remain in some form of education at the end of the action. Targeted girls and boys = any child supported by the project (including those already enrolled at action start and those newly enrolled during the action). Retained = still enrolled in NFE or formal education at the end of the action; actions ending during school holidays use the last academic term as the end point. Learners completing the final grade of secondary school count as still in education. Disaggregate by sex, NFE type/level of education and disability.</t>
  </si>
  <si>
    <t xml:space="preserve">Enrolment registers, daily attendance sheets, retention tracking records, endline attendance documentation, cross-checked with the Education Management Information System (EMIS) database, compiled by CBLF facilitators and consolidated by the Education/MEAL team.</t>
  </si>
  <si>
    <t xml:space="preserve">Sex, level/type of education, disability</t>
  </si>
  <si>
    <t xml:space="preserve">1,224 targeted learners</t>
  </si>
  <si>
    <t xml:space="preserve">CBLF enrolment &amp; tracking registers</t>
  </si>
  <si>
    <t xml:space="preserve">Source: enrolment registers, daily attendance sheets, retention tracking records, endline attendance documentation. Method: cross-checked with the Education Management Information System (EMIS) database; compiled by CBLF facilitators and consolidated by the Education/MEAL team. Frequency: monthly reviews, final retention calculation at endline.</t>
  </si>
  <si>
    <t xml:space="preserve">Endline tracking cross-checked against attendance/drop-out records; PIB verifies a sample against household follow-up.</t>
  </si>
  <si>
    <t xml:space="preserve">Monthly reviews; final retention calculation at endline</t>
  </si>
  <si>
    <t xml:space="preserve">High mobility of the Rohingya population (incl. potential relocation to Bhasan Char) may affect endline tracking accuracy.</t>
  </si>
  <si>
    <t xml:space="preserve">[P]% of FIVDB's 1,224 targeted learners ([X] children) remained enrolled in education at the end of the action, against a 90% target.</t>
  </si>
  <si>
    <t xml:space="preserve">Consortium specific-objective target 90%; applies to FIVDB's 1,224 learners (updated from 1,187 per Detailed Budget/Narrative Proposal)</t>
  </si>
  <si>
    <t xml:space="preserve">8. Activity Tracker - FIVDB Implementation Activities (Sub-activity Level)</t>
  </si>
  <si>
    <t xml:space="preserve">Tracks physical progress of FIVDB's workplan sub-activities, separate from the outcome/output indicators in the IPTT. Each Activity Code (R1A1, R2A1, etc.) IS the FIVDB Detailed Budget's own Reference code - used directly, not a cross-reference. 'Sub-sub-activity' further splits a sub-activity into its distinct component tasks where useful (e.g. 'establish' vs 'refurbish', or two different kit types bundled in one description) - populated only where a split adds real tracking value; blank elsewhere. 'Process (How Conducted)' summarises the delivery method for each sub-activity; 'Contribution to Indicator' explains how the sub-activity's output feeds its linked IPTT indicator(s). 'Source Reference' cites the exact Detailed Budget row for every sub-activity. 'Related Budget Line' and 'Approved Budget (EUR/BDT)' show the full budget line total this sub-activity draws on - shared across several sub-activities/rows below; do not sum this column. Example: all 14 sub-activities under R1A4 show the SAME Approved Budget figure (that budget line's full total) - this is intentional, not 14 separate budgets; see Sheet 13 (Budget Tracker) for the actual itemised cost breakdown within each line. PLANNED (by quarter) is a MANUAL numeric entry - FIVDB enters the target number planned for that specific quarter (yellow cells; e.g. 20 learners planned in Q1, 15 in Q2, etc. - not cumulative). ACTUAL (by quarter) is fully AUTOMATIC - the sum of 'Total Participants' (Sheet 10, Activity Data Log) plus 'Total Recipients' (Sheet 11, Distribution Log) logged against this exact Activity/Sub-activity Code within that quarter. No manual entry; recalculates as Sheets 10-11 are populated. % Physical Progress = cumulative ACTUAL up to the current reporting quarter (Sheet 7) / cumulative PLANNED up to the same quarter. RAG Status: On Track &gt;=90%, Slightly Behind 70-89%, Behind &lt;70%. 'Data Log Cross-Check' shows the underlying entry count/average from Sheet 10, for transparency. Output targets, locations and budget categories are indicative planning estimates - to be validated with PIB and FIVDB's detailed budget at inception.</t>
  </si>
  <si>
    <t xml:space="preserve">Activity
Code</t>
  </si>
  <si>
    <t xml:space="preserve">Sub-activity
Code</t>
  </si>
  <si>
    <t xml:space="preserve">Sub-activity Description</t>
  </si>
  <si>
    <t xml:space="preserve">Sub-sub-activity
(where applicable)</t>
  </si>
  <si>
    <t xml:space="preserve">Process
(How Conducted)</t>
  </si>
  <si>
    <t xml:space="preserve">Location / Camps</t>
  </si>
  <si>
    <t xml:space="preserve">Output Target
(indicative)</t>
  </si>
  <si>
    <t xml:space="preserve">Linked
Indicator(s)</t>
  </si>
  <si>
    <t xml:space="preserve">Contribution to Indicator</t>
  </si>
  <si>
    <t xml:space="preserve">Target
Number</t>
  </si>
  <si>
    <t xml:space="preserve">PLANNED (by quarter) - FIVDB manual target number</t>
  </si>
  <si>
    <t xml:space="preserve">ACTUAL (by quarter) - auto total from Sheets 10-11</t>
  </si>
  <si>
    <t xml:space="preserve">% Physical
Progress (auto)</t>
  </si>
  <si>
    <t xml:space="preserve">RAG
Status</t>
  </si>
  <si>
    <t xml:space="preserve">Budget Category
(indicative)</t>
  </si>
  <si>
    <t xml:space="preserve">Related Budget
Line (see Sheet 13)</t>
  </si>
  <si>
    <t xml:space="preserve">Approved Budget
(EUR, full line)</t>
  </si>
  <si>
    <t xml:space="preserve">Approved Budget
(BDT, full line)</t>
  </si>
  <si>
    <t xml:space="preserve">Data Log Cross-Check
(Sheet 10, latest entry)</t>
  </si>
  <si>
    <t xml:space="preserve">Means of Verification</t>
  </si>
  <si>
    <t xml:space="preserve">Source Reference</t>
  </si>
  <si>
    <t xml:space="preserve">R1A1 - Identification, Assessment &amp; Placement of Out-of-School/Dropout Children (Budget Ref R1A1, BDT 40,000 / EUR 279.72)</t>
  </si>
  <si>
    <t xml:space="preserve">R1A1</t>
  </si>
  <si>
    <t xml:space="preserve">Delivered as a planned field activity by FIVDB staff/volunteers, following the sub-activity description, with progress recorded in this tracker.</t>
  </si>
  <si>
    <t xml:space="preserve">Camps 1W, 6, 21, 24</t>
  </si>
  <si>
    <t xml:space="preserve">All target households surveyed</t>
  </si>
  <si>
    <t xml:space="preserve">Generates the count of outputs (facilities/people/sessions, as applicable) reported under R1-I1.</t>
  </si>
  <si>
    <t xml:space="preserve">See target description</t>
  </si>
  <si>
    <t xml:space="preserve">survey</t>
  </si>
  <si>
    <t xml:space="preserve">R1A1 (Budget)</t>
  </si>
  <si>
    <t xml:space="preserve">Survey tool; household tracking log</t>
  </si>
  <si>
    <t xml:space="preserve">FIVDB Detailed Budget, row 46 (Household survey through community volunteers)</t>
  </si>
  <si>
    <t xml:space="preserve">Non-budgetary - carried out by teaching volunteers as part of their incentivised role (no separate cost line). CLARIFICATION: This is the household SURVEY step (identification), not enrolment itself - it has no separate numeric target because it covers 'all target households' in the 4 camps. The 1,224 enrolment figure only appears once children are actually registered (see R1A2.1 onward, feeding indicator R1-I1).</t>
  </si>
  <si>
    <t xml:space="preserve">Individual identification, intake/assessment, case planning, service delivery and follow-up, per the CP Case Management Minimum Standards 7-step process.</t>
  </si>
  <si>
    <t xml:space="preserve">Minimum 3% of 1,224 children (~37)</t>
  </si>
  <si>
    <t xml:space="preserve">children</t>
  </si>
  <si>
    <t xml:space="preserve">Screening/assessment form; HI referral record</t>
  </si>
  <si>
    <t xml:space="preserve">FIVDB Detailed Budget, row 48 (Technical assessment; HI MoU; 3% disability target)</t>
  </si>
  <si>
    <t xml:space="preserve">HI also trains FIVDB staff/volunteers on identification and referral; technical assessment itself is non-budgetary beyond HI partnership. CLARIFICATION: Target = 3 (representing the minimum 3% disability-screening rate applied against the 1,224 total, i.e. ~37 children) - NOT a target of 3 children. See indicator R1-I1 (IPTT, Sheet 7) for the full 1,224 enrolment target this screening step supports.</t>
  </si>
  <si>
    <t xml:space="preserve">Step 1: Raise PR for tool printing (Purchase Request). Step 2: PR approval by Project Manager/Finance. Step 3: Procurement/vendor selection per FIVDB procurement policy. Step 4: Goods received at warehouse and quality-checked. Step 5: Dispatch/distribution to camps. Step 6: Signed waybill/distribution record filed (last step).</t>
  </si>
  <si>
    <t xml:space="preserve">1 lumpsum print run, 4 times</t>
  </si>
  <si>
    <t xml:space="preserve">lumpsum</t>
  </si>
  <si>
    <t xml:space="preserve">Printed tool sets; procurement record</t>
  </si>
  <si>
    <t xml:space="preserve">FIVDB Detailed Budget, row 49 (Printing of tools for placement/assessment/disability screening)</t>
  </si>
  <si>
    <t xml:space="preserve">BDT 40,000 total (1 lumpsum x 4 times x 10,000). CLARIFICATION: Target = 1 lumpsum print run (repeated 4 times across the action) - a procurement/output unit, not a beneficiary headcount. This activity supports indicator R1-I1 but does not itself carry the 1,224 figure.</t>
  </si>
  <si>
    <t xml:space="preserve">R1A2 - Education Service Delivery Support: Learning Materials, Teaching-Volunteer Incentives &amp; Assistive Devices (Budget Ref R1A2, BDT 27,698,100 / EUR 193,693.01)</t>
  </si>
  <si>
    <t xml:space="preserve">R1A2</t>
  </si>
  <si>
    <t xml:space="preserve">17 volunteers x 22 months</t>
  </si>
  <si>
    <t xml:space="preserve">Generates the count of outputs (facilities/people/sessions, as applicable) reported under R1-I3.</t>
  </si>
  <si>
    <t xml:space="preserve">volunteers</t>
  </si>
  <si>
    <t xml:space="preserve">R1A2 (Budget)</t>
  </si>
  <si>
    <t xml:space="preserve">Payroll/incentive disbursement record</t>
  </si>
  <si>
    <t xml:space="preserve">FIVDB Detailed Budget, row 52 (Incentives for teacher volunteers from host community)</t>
  </si>
  <si>
    <t xml:space="preserve">BDT 15,500/volunteer/month x 17 x 22 = 5,797,000.</t>
  </si>
  <si>
    <t xml:space="preserve">51 volunteers x 22 months</t>
  </si>
  <si>
    <t xml:space="preserve">FIVDB Detailed Budget, row 53 (Incentives for teacher volunteers from refugee community)</t>
  </si>
  <si>
    <t xml:space="preserve">BDT 13,000/volunteer/month x 51 x 22 = 14,586,000.</t>
  </si>
  <si>
    <t xml:space="preserve">Step 1: Raise PR for scholastic material kits (Purchase Request). Step 2: PR approval by Project Manager/Finance. Step 3: Procurement/vendor selection per FIVDB procurement policy. Step 4: Goods received at warehouse and quality-checked. Step 5: Dispatch/distribution to camps. Step 6: Signed waybill/distribution record filed (last step).</t>
  </si>
  <si>
    <t xml:space="preserve">Planned distribution or provision, with beneficiary verification, signed waybill/record, and post-distribution monitoring where applicable.</t>
  </si>
  <si>
    <t xml:space="preserve">1,224 children, 2-year supply</t>
  </si>
  <si>
    <t xml:space="preserve">Generates the count of outputs (facilities/people/sessions, as applicable) reported under R1-I4.</t>
  </si>
  <si>
    <t xml:space="preserve">Distribution record signed by recipients</t>
  </si>
  <si>
    <t xml:space="preserve">FIVDB Detailed Budget, row 54 (Kits scholastic materials, 24 per CBLF)</t>
  </si>
  <si>
    <t xml:space="preserve">12 children x 2 shifts = 24 per CBLF x 51 CBLF = 1,224; BDT 1,500/child/2yrs = 3,672,000. Note: source comment mentions '24*60=1440' as a leftover reference to an earlier 60-CBLF draft - the Qty field (1,224) and the confirmed 51-CBLF total are authoritative.</t>
  </si>
  <si>
    <t xml:space="preserve">Step 1: Raise PR for school bags (Purchase Request). Step 2: PR approval by Project Manager/Finance. Step 3: Procurement/vendor selection per FIVDB procurement policy. Step 4: Goods received at warehouse and quality-checked. Step 5: Dispatch/distribution to camps. Step 6: Signed waybill/distribution record filed (last step).</t>
  </si>
  <si>
    <t xml:space="preserve">1,224 children, one-time</t>
  </si>
  <si>
    <t xml:space="preserve">FIVDB Detailed Budget, row 55 (Bag, provided only once)</t>
  </si>
  <si>
    <t xml:space="preserve">BDT 800/child = 979,200.</t>
  </si>
  <si>
    <t xml:space="preserve">Step 1: Raise PR for assistive devices (Purchase Request). Step 2: PR approval by Project Manager/Finance. Step 3: Procurement/vendor selection per FIVDB procurement policy. Step 4: Goods received at warehouse and quality-checked. Step 5: Dispatch/distribution to camps. Step 6: Signed waybill/distribution record filed (last step).</t>
  </si>
  <si>
    <t xml:space="preserve">~37 children (3% of 1,224)</t>
  </si>
  <si>
    <t xml:space="preserve">Distribution record; HI assessment reference</t>
  </si>
  <si>
    <t xml:space="preserve">FIVDB Detailed Budget, row 56 (Assistive devices and reasonable accommodation)</t>
  </si>
  <si>
    <t xml:space="preserve">BDT 10,000/child average lumpsum x 36.72 = 367,200.</t>
  </si>
  <si>
    <t xml:space="preserve">Step 1: Raise PR for CBLF minimum package items (Purchase Request). Step 2: PR approval by Project Manager/Finance. Step 3: Procurement/vendor selection per FIVDB procurement policy. Step 4: Goods received at warehouse and quality-checked. Step 5: Dispatch/distribution to camps. Step 6: Signed waybill/distribution record filed (last step).</t>
  </si>
  <si>
    <t xml:space="preserve">51 CBLFs, 2-year supply</t>
  </si>
  <si>
    <t xml:space="preserve">Generates the count of outputs (facilities/people/sessions, as applicable) reported under R1-I2.</t>
  </si>
  <si>
    <t xml:space="preserve">facilities</t>
  </si>
  <si>
    <t xml:space="preserve">Facility inventory / handover record</t>
  </si>
  <si>
    <t xml:space="preserve">FIVDB Detailed Budget, row 57 (Minimum package)</t>
  </si>
  <si>
    <t xml:space="preserve">BDT 5,000/CBLF/2yrs = 510,000.</t>
  </si>
  <si>
    <t xml:space="preserve">Step 1: Raise PR for solar panels/lights/fire extinguishers (Purchase Request). Step 2: PR approval by Project Manager/Finance. Step 3: Procurement/vendor selection per FIVDB procurement policy. Step 4: Goods received at warehouse and quality-checked. Step 5: Dispatch/distribution to camps. Step 6: Signed waybill/distribution record filed (last step).</t>
  </si>
  <si>
    <t xml:space="preserve">51 CBLFs, one-time</t>
  </si>
  <si>
    <t xml:space="preserve">Installation/handover certificate; site photos</t>
  </si>
  <si>
    <t xml:space="preserve">FIVDB Detailed Budget, row 58 (Solar panels, lights, fire extinguisher)</t>
  </si>
  <si>
    <t xml:space="preserve">BDT 25,000/CBLF one-time = 1,275,000.</t>
  </si>
  <si>
    <t xml:space="preserve">51 CBLFs, half-yearly x4</t>
  </si>
  <si>
    <t xml:space="preserve">Maintenance log; expenditure record</t>
  </si>
  <si>
    <t xml:space="preserve">FIVDB Detailed Budget, row 59 (Maintenance costs for CBLF)</t>
  </si>
  <si>
    <t xml:space="preserve">BDT 1,000/CBLF x 4 half-year periods = 204,000.</t>
  </si>
  <si>
    <t xml:space="preserve">Step 1: Raise PR for IEC material printing (Purchase Request). Step 2: PR approval by Project Manager/Finance. Step 3: Procurement/vendor selection per FIVDB procurement policy. Step 4: Goods received at warehouse and quality-checked. Step 5: Dispatch/distribution to camps. Step 6: Signed waybill/distribution record filed (last step).</t>
  </si>
  <si>
    <t xml:space="preserve">GEN-3</t>
  </si>
  <si>
    <t xml:space="preserve">Generates the count of outputs (facilities/people/sessions, as applicable) reported under GEN-3.</t>
  </si>
  <si>
    <t xml:space="preserve">Site inspection; photo record</t>
  </si>
  <si>
    <t xml:space="preserve">FIVDB Detailed Budget, row 60 (IEC materials)</t>
  </si>
  <si>
    <t xml:space="preserve">BDT 1,500/CBLF one-time = 76,500.</t>
  </si>
  <si>
    <t xml:space="preserve">Step 1: Raise PR for teacher kit items (diary/pens/bottle/guide) (Purchase Request). Step 2: PR approval by Project Manager/Finance. Step 3: Procurement/vendor selection per FIVDB procurement policy. Step 4: Goods received at warehouse and quality-checked. Step 5: Dispatch/distribution to camps. Step 6: Signed waybill/distribution record filed (last step).</t>
  </si>
  <si>
    <t xml:space="preserve">68 teachers, 2-year supply</t>
  </si>
  <si>
    <t xml:space="preserve">teachers</t>
  </si>
  <si>
    <t xml:space="preserve">FIVDB Detailed Budget, row 61 (Teacher kits: diary, pens, water bottle, guide)</t>
  </si>
  <si>
    <t xml:space="preserve">BDT 1,000/teacher/2yrs = 136,000.</t>
  </si>
  <si>
    <t xml:space="preserve">Step 1: Raise PR for teacher bags/umbrellas (Purchase Request). Step 2: PR approval by Project Manager/Finance. Step 3: Procurement/vendor selection per FIVDB procurement policy. Step 4: Goods received at warehouse and quality-checked. Step 5: Dispatch/distribution to camps. Step 6: Signed waybill/distribution record filed (last step).</t>
  </si>
  <si>
    <t xml:space="preserve">68 teachers, annual</t>
  </si>
  <si>
    <t xml:space="preserve">FIVDB Detailed Budget, row 62 (Teacher kits: bag + umbrella)</t>
  </si>
  <si>
    <t xml:space="preserve">BDT 1,400/teacher/year = 95,200.</t>
  </si>
  <si>
    <t xml:space="preserve">R1A3 - Gender-Appropriate Dignity Kits &amp; MHM Support for Adolescent Girls (Budget Ref R1A3, BDT 2,460,240 / EUR 17,204.48)</t>
  </si>
  <si>
    <t xml:space="preserve">R1A3</t>
  </si>
  <si>
    <t xml:space="preserve">Step 1: Raise PR for MHM kit items (Purchase Request). Step 2: PR approval by Project Manager/Finance. Step 3: Procurement/vendor selection per FIVDB procurement policy. Step 4: Goods received at warehouse and quality-checked. Step 5: Dispatch/distribution to camps. Step 6: Signed waybill/distribution record filed (last step).</t>
  </si>
  <si>
    <t xml:space="preserve">~820 girls, 2-year supply</t>
  </si>
  <si>
    <t xml:space="preserve">girls</t>
  </si>
  <si>
    <t xml:space="preserve">R1A3 (Budget)</t>
  </si>
  <si>
    <t xml:space="preserve">Distribution record signed by recipients/guardians</t>
  </si>
  <si>
    <t xml:space="preserve">FIVDB Detailed Budget, row 66 (Standard MHM kits with reusable pads, underwear, laundry soap)</t>
  </si>
  <si>
    <t xml:space="preserve">BDT 1,500/girl/2yrs x 820.08 = 2,460,240 (~67% of 1,224 children, FIVDB calculation).</t>
  </si>
  <si>
    <t xml:space="preserve">R1A4 - Strengthening Technical &amp; Operational Capacities of Staff, Teaching Volunteers &amp; Consortium Partners (Budget Ref R1A4, BDT 1,248,000 / EUR 8,727.27)</t>
  </si>
  <si>
    <t xml:space="preserve">R1A4</t>
  </si>
  <si>
    <t xml:space="preserve">Facilitated in-person training/workshop with a structured curriculum, attendance record, and pre/post assessment where applicable.</t>
  </si>
  <si>
    <t xml:space="preserve">68 participants, 5 days</t>
  </si>
  <si>
    <t xml:space="preserve">Generates the count of outputs (facilities/people/sessions, as applicable) reported under R1-I5.</t>
  </si>
  <si>
    <t xml:space="preserve">participants</t>
  </si>
  <si>
    <t xml:space="preserve">R1A4 (Budget)</t>
  </si>
  <si>
    <t xml:space="preserve">Training register; pre/post test</t>
  </si>
  <si>
    <t xml:space="preserve">FIVDB Detailed Budget, rows 69-71 (Cascade down basic training)</t>
  </si>
  <si>
    <t xml:space="preserve">Food BDT 350 x 68 x 5 days = 119,000; materials 1,500.</t>
  </si>
  <si>
    <t xml:space="preserve">68 participants, 12 days total</t>
  </si>
  <si>
    <t xml:space="preserve">FIVDB Detailed Budget, rows 72-74 (Cascade down subject-based training)</t>
  </si>
  <si>
    <t xml:space="preserve">Food BDT 350 x 68 x 12 days = 285,600; materials 3,000 (2 rounds).</t>
  </si>
  <si>
    <t xml:space="preserve">68 participants, 7 days/year</t>
  </si>
  <si>
    <t xml:space="preserve">FIVDB Detailed Budget, rows 75-77 (Quarterly refresher training)</t>
  </si>
  <si>
    <t xml:space="preserve">Food BDT 350 x 68 x 7 days = 166,600; materials 7,000 (7 rounds).</t>
  </si>
  <si>
    <t xml:space="preserve">68 participants, 4 days</t>
  </si>
  <si>
    <t xml:space="preserve">Generates the count of outputs (facilities/people/sessions, as applicable) reported under R1-I7.</t>
  </si>
  <si>
    <t xml:space="preserve">FIVDB Detailed Budget, rows 78-80 (Cascading training PSS/gender/SRHR/CAAFAG/referral)</t>
  </si>
  <si>
    <t xml:space="preserve">Food BDT 350 x 68 x 4 days = 95,200; materials 6,000.</t>
  </si>
  <si>
    <t xml:space="preserve">68 participants, 2 days</t>
  </si>
  <si>
    <t xml:space="preserve">FIVDB Detailed Budget, rows 81-83 (Cascade training Protective Education Services)</t>
  </si>
  <si>
    <t xml:space="preserve">Food BDT 350 x 68 x 2 days = 47,600; materials 1,000.</t>
  </si>
  <si>
    <t xml:space="preserve">15 participants, 2 days</t>
  </si>
  <si>
    <t xml:space="preserve">R1-I5, GEN-4</t>
  </si>
  <si>
    <t xml:space="preserve">Generates the count of outputs (facilities/people/sessions, as applicable) reported under R1-I5, GEN-4.</t>
  </si>
  <si>
    <t xml:space="preserve">FIVDB Detailed Budget, rows 84-87 (ToT Gender-Responsive Pedagogy)</t>
  </si>
  <si>
    <t xml:space="preserve">Venue + food BDT 600 x 15 x 2 days = 18,000; materials 1,000.</t>
  </si>
  <si>
    <t xml:space="preserve">68 participants, 1 day</t>
  </si>
  <si>
    <t xml:space="preserve">FIVDB Detailed Budget, rows 88-90 (Cascading Gender-Responsive Pedagogy training, roll out)</t>
  </si>
  <si>
    <t xml:space="preserve">Food BDT 350 x 68 = 23,800; materials 6,000 (4 rounds).</t>
  </si>
  <si>
    <t xml:space="preserve">12 participants, 1 day</t>
  </si>
  <si>
    <t xml:space="preserve">GEN-4</t>
  </si>
  <si>
    <t xml:space="preserve">Generates the count of outputs (facilities/people/sessions, as applicable) reported under GEN-4.</t>
  </si>
  <si>
    <t xml:space="preserve">FIVDB Detailed Budget, rows 91-94 (ToT Empowerment session)</t>
  </si>
  <si>
    <t xml:space="preserve">Venue + food BDT 600 x 12 = 7,200; materials 1,000.</t>
  </si>
  <si>
    <t xml:space="preserve">FIVDB Detailed Budget, rows 95-97 (Cascading Empowerment session, roll out)</t>
  </si>
  <si>
    <t xml:space="preserve">Food BDT 350 x 68 = 23,800; materials 1,500.</t>
  </si>
  <si>
    <t xml:space="preserve">200 male participants, quarterly</t>
  </si>
  <si>
    <t xml:space="preserve">Session attendance log</t>
  </si>
  <si>
    <t xml:space="preserve">FIVDB Detailed Budget, rows 98-101 (Male Allyship and Community Leadership Circles, 8 sessions)</t>
  </si>
  <si>
    <t xml:space="preserve">Food BDT 350 x 200 = 70,000; materials 1,000; 8 sessions total incl. SC co-delivery.</t>
  </si>
  <si>
    <t xml:space="preserve">25 participants, 2 days</t>
  </si>
  <si>
    <t xml:space="preserve">FIVDB Detailed Budget, rows 102-105 (ToT Gender Equality in Education)</t>
  </si>
  <si>
    <t xml:space="preserve">Venue + food BDT 600 x 25 x 2 days = 30,000; materials 2,000.</t>
  </si>
  <si>
    <t xml:space="preserve">FIVDB Detailed Budget, rows 106-108 (Cascading Gender Equality in Education, roll out)</t>
  </si>
  <si>
    <t xml:space="preserve">22 participants, 1 day</t>
  </si>
  <si>
    <t xml:space="preserve">GEN-4, R1-I6</t>
  </si>
  <si>
    <t xml:space="preserve">Generates the count of outputs (facilities/people/sessions, as applicable) reported under GEN-4, R1-I6.</t>
  </si>
  <si>
    <t xml:space="preserve">FIVDB Detailed Budget, rows 109-112 (Adolescent Girls' Safe Circles - non-budgetary)</t>
  </si>
  <si>
    <t xml:space="preserve">Marked non-budgetary in source; delivered within existing facilitator time.</t>
  </si>
  <si>
    <t xml:space="preserve">Scheduled meeting or dialogue with the relevant stakeholders, with minutes/attendance recorded and follow-up actions tracked.</t>
  </si>
  <si>
    <t xml:space="preserve">15 participants, 24 days/2yrs</t>
  </si>
  <si>
    <t xml:space="preserve">Enables or supports delivery of other indicator-linked activities; not directly counted under any single IPTT indicator.</t>
  </si>
  <si>
    <t xml:space="preserve">Meeting minutes; attendance record</t>
  </si>
  <si>
    <t xml:space="preserve">FIVDB Detailed Budget, rows 113-116 (Monthly project progress/coordination meeting)</t>
  </si>
  <si>
    <t xml:space="preserve">Venue + food BDT 600 x 15 x 24 = 216,000; materials 12,000 (24 rounds).</t>
  </si>
  <si>
    <t xml:space="preserve">R1A5 - Community Engagement, CESG Oversight, Caregiver Support &amp; SEL (Budget Ref R1A5, BDT 1,095,160 / EUR 7,658.46)</t>
  </si>
  <si>
    <t xml:space="preserve">R1A5</t>
  </si>
  <si>
    <t xml:space="preserve">67 copies, one-time</t>
  </si>
  <si>
    <t xml:space="preserve">Generates the count of outputs (facilities/people/sessions, as applicable) reported under R1-I6.</t>
  </si>
  <si>
    <t xml:space="preserve">copies</t>
  </si>
  <si>
    <t xml:space="preserve">R1A5 (Budget)</t>
  </si>
  <si>
    <t xml:space="preserve">Distribution record; facility inventory</t>
  </si>
  <si>
    <t xml:space="preserve">FIVDB Detailed Budget, rows 118-119 (Storybook on SEL, printing module)</t>
  </si>
  <si>
    <t xml:space="preserve">BDT 1,000/copy x 67 = 67,000. CLARIFICATION: Target = 67 storybook copies (a one-time print/distribution output), not the 2,516 beneficiary figure on indicator R1-I6 that this activity contributes to alongside R1A4.14 (parenting sessions) and others.</t>
  </si>
  <si>
    <t xml:space="preserve">204 persons, 12 sessions/2yrs</t>
  </si>
  <si>
    <t xml:space="preserve">Generates the count of outputs (facilities/people/sessions, as applicable) reported under SO-I1.</t>
  </si>
  <si>
    <t xml:space="preserve">persons</t>
  </si>
  <si>
    <t xml:space="preserve">FIVDB Detailed Budget, rows 122-123 (Bi-monthly CESG meetings, snacks)</t>
  </si>
  <si>
    <t xml:space="preserve">Snacks BDT 60/person x 204 x 12 = 146,880; ~26 CESGs.</t>
  </si>
  <si>
    <t xml:space="preserve">1,224 persons, 12 sessions/2yrs</t>
  </si>
  <si>
    <t xml:space="preserve">FIVDB Detailed Budget, rows 126-127 (Bi-monthly parent meetings, snacks)</t>
  </si>
  <si>
    <t xml:space="preserve">Snacks BDT 60/person x 1,224 x 12 = 881,280.</t>
  </si>
  <si>
    <t xml:space="preserve">R2A1 - Child Protection Case Management (Budget Ref R2A1, BDT 1,963,000 / EUR 13,727.27)</t>
  </si>
  <si>
    <t xml:space="preserve">12 participants, 3-day training</t>
  </si>
  <si>
    <t xml:space="preserve">Generates the count of outputs (facilities/people/sessions, as applicable) reported under R2-I2.</t>
  </si>
  <si>
    <t xml:space="preserve">R2A1 (Budget)</t>
  </si>
  <si>
    <t xml:space="preserve">Training register; case file cross-check</t>
  </si>
  <si>
    <t xml:space="preserve">FIVDB Detailed Budget, rows 131-136 (2.1.1 Identifying and enhancing capacity of alternative care family members)</t>
  </si>
  <si>
    <t xml:space="preserve">Venue 45,000; refreshment 54,000; materials 6,000; accommodation 48,000; travel 24,000.</t>
  </si>
  <si>
    <t xml:space="preserve">320 children, needs-based</t>
  </si>
  <si>
    <t xml:space="preserve">Generates the count of outputs (facilities/people/sessions, as applicable) reported under R2-I1.</t>
  </si>
  <si>
    <t xml:space="preserve">Case file; distribution record</t>
  </si>
  <si>
    <t xml:space="preserve">FIVDB Detailed Budget, rows 137-138 (2.1.2 Case management need-based and emergency support)</t>
  </si>
  <si>
    <t xml:space="preserve">BDT 1,200/case average x 320 = 384,000.</t>
  </si>
  <si>
    <t xml:space="preserve">4 camps, one-time set-up + running</t>
  </si>
  <si>
    <t xml:space="preserve">camps</t>
  </si>
  <si>
    <t xml:space="preserve">Office inventory; running-cost record</t>
  </si>
  <si>
    <t xml:space="preserve">FIVDB Detailed Budget, row 139 (2.1.3 Case Management Office functioning and running costs)</t>
  </si>
  <si>
    <t xml:space="preserve">BDT 10,000/camp x 4 = 40,000.</t>
  </si>
  <si>
    <t xml:space="preserve">320 children caseload</t>
  </si>
  <si>
    <t xml:space="preserve">FIVDB Detailed Budget, row 140 (2.1.4 Case Management Services - non-budgetary)</t>
  </si>
  <si>
    <t xml:space="preserve">Non-budgetary; delivered through the 8 Case Management Officer posts under Human Resources.</t>
  </si>
  <si>
    <t xml:space="preserve">Inter-sector coordination to define and formalise the referral SOP, tested and monitored through the referral tracker.</t>
  </si>
  <si>
    <t xml:space="preserve">20 participants, 1 day</t>
  </si>
  <si>
    <t xml:space="preserve">Generates the count of outputs (facilities/people/sessions, as applicable) reported under R2-I3.</t>
  </si>
  <si>
    <t xml:space="preserve">FIVDB Detailed Budget, rows 141-143 (2.1.5 Training for para-social workers and volunteers on referral pathways)</t>
  </si>
  <si>
    <t xml:space="preserve">Venue at office (0 cost); refreshment BDT 350 x 20 = 7,000.</t>
  </si>
  <si>
    <t xml:space="preserve">8 volunteers x 11 months</t>
  </si>
  <si>
    <t xml:space="preserve">FIVDB Detailed Budget, row 144 (Incentive for case management volunteers)</t>
  </si>
  <si>
    <t xml:space="preserve">BDT 15,000/volunteer/month x 8 x 11 = 1,320,000.</t>
  </si>
  <si>
    <t xml:space="preserve">Step 1: Raise PR for case-worker support kits (Purchase Request). Step 2: PR approval by Project Manager/Finance. Step 3: Procurement/vendor selection per FIVDB procurement policy. Step 4: Goods received at warehouse and quality-checked. Step 5: Dispatch/distribution to camps. Step 6: Signed waybill/distribution record filed (last step).</t>
  </si>
  <si>
    <t xml:space="preserve">10 participants, lumpsum</t>
  </si>
  <si>
    <t xml:space="preserve">Distribution record</t>
  </si>
  <si>
    <t xml:space="preserve">FIVDB Detailed Budget, rows 145-146 (2.1.7 Provision of support kits for case management service providers)</t>
  </si>
  <si>
    <t xml:space="preserve">BDT 3,500/participant x 10 = 35,000.</t>
  </si>
  <si>
    <t xml:space="preserve">R2A3 - MPCAC Establishment &amp; PSS/Protection Group Interventions (Budget Ref R2A3, BDT 10,455,800 / EUR 73,117.48)</t>
  </si>
  <si>
    <t xml:space="preserve">R2A3</t>
  </si>
  <si>
    <t xml:space="preserve">R2A3.1a: Establish 4 new MPCACs (Camp 1W, Camp 6, Camp 21, Camp 24). | R2A3.1b: Refurbish 2 existing MPCACs (Camp 1W, Camp 24). | R2A3.1c: Cover running/materials costs for all 6 MPCACs.</t>
  </si>
  <si>
    <t xml:space="preserve">Site/structure identification, agreement with camp authorities, procurement/construction or formation, and handover or launch.</t>
  </si>
  <si>
    <t xml:space="preserve">4 new + 2 refurbished + 6 running</t>
  </si>
  <si>
    <t xml:space="preserve">Generates the count of outputs (facilities/people/sessions, as applicable) reported under R2-I4.</t>
  </si>
  <si>
    <t xml:space="preserve">R2A3 (Budget)</t>
  </si>
  <si>
    <t xml:space="preserve">Completion/handover certificate; site photos</t>
  </si>
  <si>
    <t xml:space="preserve">FIVDB Detailed Budget, rows 150-153 (2.3.1 Construction and/or refurbishment of MPCAC)</t>
  </si>
  <si>
    <t xml:space="preserve">New BDT 850,000 x 4 = 3,400,000; refurb BDT 200,000 x 2 = 400,000; running BDT 70,000 x 6 = 420,000. Block detail: Camp 1W Blocks A-G, Camp 6 A-D, Camp 21 A-C, Camp 24 A-E, per Annex 3.</t>
  </si>
  <si>
    <t xml:space="preserve">100 participants, inception + 3-day training</t>
  </si>
  <si>
    <t xml:space="preserve">FIVDB Detailed Budget, rows 154-156 (2.3.2 Roll out of I Support My Friend at community level)</t>
  </si>
  <si>
    <t xml:space="preserve">Inception BDT 35,000; training BDT 350 x 100 x 3 days = 105,000.</t>
  </si>
  <si>
    <t xml:space="preserve">Facilitated group session(s) with participants, using a structured curriculum/module and attendance tracking.</t>
  </si>
  <si>
    <t xml:space="preserve">18 persons (6+6+6) x 11 months</t>
  </si>
  <si>
    <t xml:space="preserve">FIVDB Detailed Budget, rows 157-160 (2.3.3 Facilitators of the MPCAC)</t>
  </si>
  <si>
    <t xml:space="preserve">Refugee volunteers BDT 15,000 x 6 x 11 = 990,000; host volunteers BDT 17,000 x 6 x 11 = 1,122,000; security BDT 10,000 x 6 x 11 = 660,000.</t>
  </si>
  <si>
    <t xml:space="preserve">20 persons/camp x 4 camps, 88 sessions</t>
  </si>
  <si>
    <t xml:space="preserve">GEN-4, R2-I4</t>
  </si>
  <si>
    <t xml:space="preserve">Generates the count of outputs (facilities/people/sessions, as applicable) reported under GEN-4, R2-I4.</t>
  </si>
  <si>
    <t xml:space="preserve">FIVDB Detailed Budget, rows 161-163 (2.3.5 Men and Boys Engagement to prevent and respond to GBV)</t>
  </si>
  <si>
    <t xml:space="preserve">Marked with 0 unit cost in source (in-kind/volunteer-led); orientation + bi-weekly refreshment sessions.</t>
  </si>
  <si>
    <t xml:space="preserve">Direct observation/inspection against a standard checklist, with findings recorded and shared for follow-up action.</t>
  </si>
  <si>
    <t xml:space="preserve">4 events, 3 times</t>
  </si>
  <si>
    <t xml:space="preserve">events</t>
  </si>
  <si>
    <t xml:space="preserve">Event report</t>
  </si>
  <si>
    <t xml:space="preserve">FIVDB Detailed Budget, rows 164-165 (2.3.6 Community led activities on CP &amp; GBV issue)</t>
  </si>
  <si>
    <t xml:space="preserve">BDT 20,000/event x 4 x 3 = 240,000.</t>
  </si>
  <si>
    <t xml:space="preserve">Step 1: Raise PR for dignity/MHM kit items (CP side) (Purchase Request). Step 2: PR approval by Project Manager/Finance. Step 3: Procurement/vendor selection per FIVDB procurement policy. Step 4: Goods received at warehouse and quality-checked. Step 5: Dispatch/distribution to camps. Step 6: Signed waybill/distribution record filed (last step).</t>
  </si>
  <si>
    <t xml:space="preserve">1,814 persons</t>
  </si>
  <si>
    <t xml:space="preserve">FIVDB Detailed Budget, rows 166-167 (2.3.7 Dignity/MHM Kit support to adolescent girls)</t>
  </si>
  <si>
    <t xml:space="preserve">BDT 1,700/person x 1,814 = 3,083,800.</t>
  </si>
  <si>
    <t xml:space="preserve">R2A4 - Strengthening Community-Based Protection Mechanisms (Budget Ref R2A4, BDT 11,822,800 / EUR 82,676.92)</t>
  </si>
  <si>
    <t xml:space="preserve">R2A4</t>
  </si>
  <si>
    <t xml:space="preserve">240 persons, 2 days</t>
  </si>
  <si>
    <t xml:space="preserve">R2A4 (Budget)</t>
  </si>
  <si>
    <t xml:space="preserve">Training register; attendance record</t>
  </si>
  <si>
    <t xml:space="preserve">FIVDB Detailed Budget, rows 170-173 (2.4.1 Training on DRR &amp; Climate Resilience)</t>
  </si>
  <si>
    <t xml:space="preserve">Refreshment BDT 350 x 240 x 2 days = 168,000; materials BDT 200 x 240 = 48,000.</t>
  </si>
  <si>
    <t xml:space="preserve">4,320 adolescents + 4,320 caregivers</t>
  </si>
  <si>
    <t xml:space="preserve">individuals</t>
  </si>
  <si>
    <t xml:space="preserve">PSS session attendance log</t>
  </si>
  <si>
    <t xml:space="preserve">FIVDB Detailed Budget, rows 174-178 (2.4.2 Provision of PALS sessions for Parents and Adolescents)</t>
  </si>
  <si>
    <t xml:space="preserve">24 refugee PSS volunteers BDT 15,000 x 11 = 3,960,000; printing 50,000; snacks adolescents BDT 50 x 4,320 x 14 = 3,024,000; snacks parents BDT 60 x 4,320 x 10 = 2,592,000.</t>
  </si>
  <si>
    <t xml:space="preserve">136 members, monthly x10</t>
  </si>
  <si>
    <t xml:space="preserve">members</t>
  </si>
  <si>
    <t xml:space="preserve">FIVDB Detailed Budget, rows 179-181 (2.4.3 CBCPC formation, reformation and monthly/bi-monthly meetings)</t>
  </si>
  <si>
    <t xml:space="preserve">Refreshment BDT 350 x 136 x 10 = 476,000; protection gear BDT 500 x 136 = 68,000.</t>
  </si>
  <si>
    <t xml:space="preserve">136 members, 2 days x2/year</t>
  </si>
  <si>
    <t xml:space="preserve">FIVDB Detailed Budget, rows 182-183 (2.4.4 Training for CBCPC members)</t>
  </si>
  <si>
    <t xml:space="preserve">Food and materials BDT 400 x 136 x 2 days = 108,800.</t>
  </si>
  <si>
    <t xml:space="preserve">8 mapping exercises</t>
  </si>
  <si>
    <t xml:space="preserve">mapping</t>
  </si>
  <si>
    <t xml:space="preserve">Risk map; community action plan</t>
  </si>
  <si>
    <t xml:space="preserve">FIVDB Detailed Budget, rows 184-185 (2.4.5 Child protection risk mapping)</t>
  </si>
  <si>
    <t xml:space="preserve">Refreshment/materials BDT 8,000/mapping x 8 x 2 = 128,000.</t>
  </si>
  <si>
    <t xml:space="preserve">Community-facing awareness or engagement activity delivered at facility or camp level, with attendance/participation recorded.</t>
  </si>
  <si>
    <t xml:space="preserve">4 events</t>
  </si>
  <si>
    <t xml:space="preserve">Event report; audience attendance log</t>
  </si>
  <si>
    <t xml:space="preserve">FIVDB Detailed Budget, rows 186-191 (2.4.6 Art for Awareness - IPT and Puppet for CP &amp; GBV)</t>
  </si>
  <si>
    <t xml:space="preserve">Script workshop 120,000; development workshop 200,000; props/costumes 120,000; facilitator 280,000; performance/dissemination 480,000.</t>
  </si>
  <si>
    <t xml:space="preserve">R2A5 - Capacity Building for Frontline Staff &amp; Volunteers on CP-GBV Integration (Budget Ref R2A5, BDT 295,200 / EUR 2,064.34)</t>
  </si>
  <si>
    <t xml:space="preserve">R2A5</t>
  </si>
  <si>
    <t xml:space="preserve">25 participants, 1 day</t>
  </si>
  <si>
    <t xml:space="preserve">R2A5 (Budget)</t>
  </si>
  <si>
    <t xml:space="preserve">FIVDB Detailed Budget, rows 194-197 (2.5.9 Capacity enhancing training for other sector staff)</t>
  </si>
  <si>
    <t xml:space="preserve">Venue 20,000; refreshment BDT 1,500 x 25 = 37,500; materials BDT 300 x 25 = 7,500.</t>
  </si>
  <si>
    <t xml:space="preserve">4 camps, quarterly x2</t>
  </si>
  <si>
    <t xml:space="preserve">FIVDB Detailed Budget, rows 198-201 (2.5.10 Quarterly Coordination meeting with service providers at camp)</t>
  </si>
  <si>
    <t xml:space="preserve">Refreshment BDT 10,000/camp x 4 x 2 = 80,000; materials BDT 2,000 x 4 x 2 = 16,000.</t>
  </si>
  <si>
    <t xml:space="preserve">Routine operational upkeep (maintenance, minor repairs, running costs) to keep the facility/service functioning.</t>
  </si>
  <si>
    <t xml:space="preserve">FIVDB Detailed Budget, rows 202-205 (2.5.11 Enhancing the Capacity of Implementing Partners on CP and Operations)</t>
  </si>
  <si>
    <t xml:space="preserve">Refreshment BDT 600 x 20 = 12,000; materials BDT 300 x 20 = 6,000.</t>
  </si>
  <si>
    <t xml:space="preserve">4 camps, quarterly x4</t>
  </si>
  <si>
    <t xml:space="preserve">Field visit report</t>
  </si>
  <si>
    <t xml:space="preserve">FIVDB Detailed Budget, rows 206-207 (2.5.12 Quarterly Joint field monitoring visit with government officials)</t>
  </si>
  <si>
    <t xml:space="preserve">Travel allowance BDT 3,200/camp x 4 x 4 = 51,200.</t>
  </si>
  <si>
    <t xml:space="preserve">4 camps, one-time</t>
  </si>
  <si>
    <t xml:space="preserve">Workshop report; attendance record</t>
  </si>
  <si>
    <t xml:space="preserve">FIVDB Detailed Budget, rows 208-211 (2.5.13 Project inception workshop with different relevant stakeholders at camp level)</t>
  </si>
  <si>
    <t xml:space="preserve">Refreshment BDT 15,000/camp x 4 = 60,000; logistics/materials 5,000.</t>
  </si>
  <si>
    <t xml:space="preserve">INC - Inception &amp; Start-up (Preparatory Activities)</t>
  </si>
  <si>
    <t xml:space="preserve">Preparatory</t>
  </si>
  <si>
    <t xml:space="preserve">INC</t>
  </si>
  <si>
    <t xml:space="preserve">INC-1</t>
  </si>
  <si>
    <t xml:space="preserve">Recruit and onboard FIVDB Education and Child Protection staff (Education Officer, Education Assistant, Technical Coordinator–Protection, case workers, facilitators).</t>
  </si>
  <si>
    <t xml:space="preserve">HR process: recruitment/selection, contracting, and onboarding/orientation of staff or volunteers.</t>
  </si>
  <si>
    <t xml:space="preserve">Full staffing complement in place</t>
  </si>
  <si>
    <t xml:space="preserve">staff</t>
  </si>
  <si>
    <t xml:space="preserve">Start-up / HR</t>
  </si>
  <si>
    <t xml:space="preserve">Human Resources + Running Costs (shared)</t>
  </si>
  <si>
    <t xml:space="preserve">Recruitment records; onboarding checklist</t>
  </si>
  <si>
    <t xml:space="preserve">Annex 18 Workplan, Row 149 (Staff Recruitment and posting in place)</t>
  </si>
  <si>
    <t xml:space="preserve">Precedes all other activities.</t>
  </si>
  <si>
    <t xml:space="preserve">INC-2</t>
  </si>
  <si>
    <t xml:space="preserve">Coordinate FD7 government approval process with SC/PIB for FIVDB's operational camps.</t>
  </si>
  <si>
    <t xml:space="preserve">FD7 approval secured</t>
  </si>
  <si>
    <t xml:space="preserve">approval</t>
  </si>
  <si>
    <t xml:space="preserve">Start-up / compliance</t>
  </si>
  <si>
    <t xml:space="preserve">FD7 approval letter</t>
  </si>
  <si>
    <t xml:space="preserve">Annex 18 Workplan, Row 14 (FD7 approval)</t>
  </si>
  <si>
    <t xml:space="preserve">Pre-condition for field implementation; tracked as a project risk.</t>
  </si>
  <si>
    <t xml:space="preserve">INC-3</t>
  </si>
  <si>
    <t xml:space="preserve">Participate in project kick-off meeting and partnership review meetings (CP, Education) with PIB and SC.</t>
  </si>
  <si>
    <t xml:space="preserve">Cox's Bazar (consortium level)</t>
  </si>
  <si>
    <t xml:space="preserve">Kick-off + quarterly partnership review</t>
  </si>
  <si>
    <t xml:space="preserve">meetings</t>
  </si>
  <si>
    <t xml:space="preserve">Coordination</t>
  </si>
  <si>
    <t xml:space="preserve">Meeting minutes</t>
  </si>
  <si>
    <t xml:space="preserve">Annex 18 Workplan, Rows 15-17 (Kick off meeting with member; Project kick off meeting with partners; Partnership review meeting)</t>
  </si>
  <si>
    <t xml:space="preserve">Month 1.</t>
  </si>
  <si>
    <t xml:space="preserve">INC-4</t>
  </si>
  <si>
    <t xml:space="preserve">Adopt/contextualise SOPs (case management, referral pathway, safeguarding, MEAL tools) jointly with PIB.</t>
  </si>
  <si>
    <t xml:space="preserve">SOPs signed off</t>
  </si>
  <si>
    <t xml:space="preserve">SOPs</t>
  </si>
  <si>
    <t xml:space="preserve">Start-up / systems</t>
  </si>
  <si>
    <t xml:space="preserve">Signed SOP documents</t>
  </si>
  <si>
    <t xml:space="preserve">Not an explicit Annex 18 row - added as standard CP/MEAL start-up practice (Row 18 covers Health/Nutrition SOPs only)</t>
  </si>
  <si>
    <t xml:space="preserve">Precedes case-management and referral roll-out.</t>
  </si>
  <si>
    <t xml:space="preserve">INC-5</t>
  </si>
  <si>
    <t xml:space="preserve">Conduct joint site verification and mapping of CBLF/GoLF and MPCAC locations with PIB.</t>
  </si>
  <si>
    <t xml:space="preserve">51 education sites + MPCAC sites mapped</t>
  </si>
  <si>
    <t xml:space="preserve">R1-I2, R2-I4</t>
  </si>
  <si>
    <t xml:space="preserve">Generates the count of outputs (facilities/people/sessions, as applicable) reported under R1-I2, R2-I4.</t>
  </si>
  <si>
    <t xml:space="preserve">sites</t>
  </si>
  <si>
    <t xml:space="preserve">Start-up / site planning</t>
  </si>
  <si>
    <t xml:space="preserve">Site mapping report; GPS/list of confirmed sites</t>
  </si>
  <si>
    <t xml:space="preserve">Derived from Annex 3 (Locations &amp; Integration Mapping) - camp-level CBLF/GoLF/MPCAC establishment references</t>
  </si>
  <si>
    <t xml:space="preserve">Feeds into R1-A1.1 and R2-A3.1 establishment activities.</t>
  </si>
  <si>
    <t xml:space="preserve">Support data collection for the baseline / KAP survey in FIVDB's camps.</t>
  </si>
  <si>
    <t xml:space="preserve">Baseline data collected for FIVDB camps</t>
  </si>
  <si>
    <t xml:space="preserve">Start-up / MEAL</t>
  </si>
  <si>
    <t xml:space="preserve">Baseline survey dataset</t>
  </si>
  <si>
    <t xml:space="preserve">Annex 18 Workplan, Row 156 (SCI-Base Line Survey, External)</t>
  </si>
  <si>
    <t xml:space="preserve">Coordinated with PIB/SC MEAL leads; see MEAL Plan Section 9.</t>
  </si>
  <si>
    <t xml:space="preserve">INC-7</t>
  </si>
  <si>
    <t xml:space="preserve">Support preparation and submission of FD-6 documentation (distinct from the FD7 camp-access approval in INC-2).</t>
  </si>
  <si>
    <t xml:space="preserve">Cox's Bazar / national level</t>
  </si>
  <si>
    <t xml:space="preserve">FD-6 submitted and cleared</t>
  </si>
  <si>
    <t xml:space="preserve">submission</t>
  </si>
  <si>
    <t xml:space="preserve">FD-6 submission record; GoB clearance</t>
  </si>
  <si>
    <t xml:space="preserve">Annex 18 Workplan, Row 148 (FD-6 Preparation and Submission)</t>
  </si>
  <si>
    <t xml:space="preserve">Per Annex 18 Workplan, Row 148 (General Activities).</t>
  </si>
  <si>
    <t xml:space="preserve">INC-8</t>
  </si>
  <si>
    <t xml:space="preserve">Sign the FIVDB-PIB partnership/sub-agreement setting out roles, budget and reporting lines.</t>
  </si>
  <si>
    <t xml:space="preserve">Signed partnership agreement</t>
  </si>
  <si>
    <t xml:space="preserve">agreement</t>
  </si>
  <si>
    <t xml:space="preserve">Signed sub-agreement document</t>
  </si>
  <si>
    <t xml:space="preserve">Annex 18 Workplan, Row 151 (Partner Agreement)</t>
  </si>
  <si>
    <t xml:space="preserve">Per Annex 18 Workplan, Row 151; precedes fund disbursement.</t>
  </si>
  <si>
    <t xml:space="preserve">INC-9</t>
  </si>
  <si>
    <t xml:space="preserve">Conduct staff orientation and induction (project kick-off) for newly recruited FIVDB staff.</t>
  </si>
  <si>
    <t xml:space="preserve">All newly recruited staff oriented</t>
  </si>
  <si>
    <t xml:space="preserve">Orientation attendance sheet</t>
  </si>
  <si>
    <t xml:space="preserve">Annex 18 Workplan, Row 150 (Staff Orientation and Kick off)</t>
  </si>
  <si>
    <t xml:space="preserve">Per Annex 18 Workplan, Row 150; follows INC-1 recruitment.</t>
  </si>
  <si>
    <t xml:space="preserve">INC-10</t>
  </si>
  <si>
    <t xml:space="preserve">Participate in the project inception meeting with government stakeholders at union, upazila, district and national level.</t>
  </si>
  <si>
    <t xml:space="preserve">Cox's Bazar + national level</t>
  </si>
  <si>
    <t xml:space="preserve">Inception meeting(s) held</t>
  </si>
  <si>
    <t xml:space="preserve">Start-up / government liaison</t>
  </si>
  <si>
    <t xml:space="preserve">Meeting minutes/attendance record</t>
  </si>
  <si>
    <t xml:space="preserve">Annex 18 Workplan, Row 152 (Project inception meeting with government stakeholders)</t>
  </si>
  <si>
    <t xml:space="preserve">Per Annex 18 Workplan, Row 152; distinct from the consortium-partner kick-off in INC-3.</t>
  </si>
  <si>
    <t xml:space="preserve">INC-11</t>
  </si>
  <si>
    <t xml:space="preserve">Participate in the SC-led consortium MEAL Plan workshop (2 days).</t>
  </si>
  <si>
    <t xml:space="preserve">FIVDB MEAL staff attend</t>
  </si>
  <si>
    <t xml:space="preserve">workshop</t>
  </si>
  <si>
    <t xml:space="preserve">Workshop attendance record</t>
  </si>
  <si>
    <t xml:space="preserve">Annex 18 Workplan, Row 154 (SCI-MEAL Plan workshop, 2 days)</t>
  </si>
  <si>
    <t xml:space="preserve">Per Annex 18 Workplan, Row 154; aligns FIVDB's MEAL Plan (this workbook) with the consortium-wide system.</t>
  </si>
  <si>
    <t xml:space="preserve">Participate in SC-led training on Accountability and Safeguarding for all FIVDB staff and volunteers.</t>
  </si>
  <si>
    <t xml:space="preserve">All FIVDB staff/volunteers trained</t>
  </si>
  <si>
    <t xml:space="preserve">Generates the count of outputs (facilities/people/sessions, as applicable) reported under R2-I5.</t>
  </si>
  <si>
    <t xml:space="preserve">Start-up / safeguarding</t>
  </si>
  <si>
    <t xml:space="preserve">Training attendance record; signed policy acknowledgement</t>
  </si>
  <si>
    <t xml:space="preserve">Annex 18 Workplan, Row 157 (SCI-Training on Accountability and Safeguarding)</t>
  </si>
  <si>
    <t xml:space="preserve">Per Annex 18 Workplan, Row 157; complements the ongoing safeguarding activities under R2-A5.5.</t>
  </si>
  <si>
    <t xml:space="preserve">GEN - Cross-cutting Coordination, Safeguarding, GBV Risk Mitigation and Gender Mainstreaming (ongoing throughout the action)</t>
  </si>
  <si>
    <t xml:space="preserve">General</t>
  </si>
  <si>
    <t xml:space="preserve">GEN</t>
  </si>
  <si>
    <t xml:space="preserve">GEN-1</t>
  </si>
  <si>
    <t xml:space="preserve">Attend regular coordination meetings with implementing partners (PIB, SC, JCF, BTS, PHD) and other stakeholders.</t>
  </si>
  <si>
    <t xml:space="preserve">Regular attendance throughout</t>
  </si>
  <si>
    <t xml:space="preserve">Human Resources (shared)</t>
  </si>
  <si>
    <t xml:space="preserve">Annex 18 Workplan, Row 155 (Regular coordination meeting with implementing partners &amp; other stakeholders)</t>
  </si>
  <si>
    <t xml:space="preserve">Per Annex 18 Workplan, Row 155; distinct from sector-specific coordination in R1-A7/R2-A4.3.</t>
  </si>
  <si>
    <t xml:space="preserve">GEN-2</t>
  </si>
  <si>
    <t xml:space="preserve">Conduct a safeguarding and GBV risk assessment of any prospective site before it is selected/established as a CBLF, GoLF, MPCAC or other facility (venue safety, lighting, privacy, access routes, presence of known risks).</t>
  </si>
  <si>
    <t xml:space="preserve">All new sites screened before establishment</t>
  </si>
  <si>
    <t xml:space="preserve">Safeguarding / site safety</t>
  </si>
  <si>
    <t xml:space="preserve">Site-selection safeguarding/GBV risk assessment checklist</t>
  </si>
  <si>
    <t xml:space="preserve">Not an explicit Annex 18 row - added per the GBV risk-management and safe-site requirements referenced in the Logframe's Result 1 Indicator 2 definition (minimum standards for safe learning spaces)</t>
  </si>
  <si>
    <t xml:space="preserve">Precedes R1-A1.1 (CBLF establishment) and R2-A3.1 (MPCAC establishment); repeated for any new/replacement site.</t>
  </si>
  <si>
    <t xml:space="preserve">Conduct a safeguarding risk screening before any group activity, training, distribution or community event (adult-to-child ratios, presence of trusted adults, venue safety, transport/pick-up arrangements).</t>
  </si>
  <si>
    <t xml:space="preserve">Screening completed before every group event</t>
  </si>
  <si>
    <t xml:space="preserve">Safeguarding / event safety</t>
  </si>
  <si>
    <t xml:space="preserve">Pre-event safeguarding screening checklist</t>
  </si>
  <si>
    <t xml:space="preserve">Not an explicit Annex 18 row - added as standard child-safeguarding practice preceding all group activities/events, complementing the ongoing Safeguarding/PSEA activities in R2-A5.5</t>
  </si>
  <si>
    <t xml:space="preserve">Applies across Event/Activity Reports (Field Reporting Templates, Template 2) and Training Reports (Template 3).</t>
  </si>
  <si>
    <t xml:space="preserve">Ensure gender mainstreaming and EU Gender-Age Marker compliance across all FIVDB activities (gender-responsive design review of facilities and sessions, sex/age-disaggregated monitoring, gender-balanced staffing and participation).</t>
  </si>
  <si>
    <t xml:space="preserve">All activities reviewed for gender/age responsiveness</t>
  </si>
  <si>
    <t xml:space="preserve">review</t>
  </si>
  <si>
    <t xml:space="preserve">Gender mainstreaming</t>
  </si>
  <si>
    <t xml:space="preserve">Gender-responsiveness review checklist; disaggregated data in the IPTT</t>
  </si>
  <si>
    <t xml:space="preserve">Not an explicit Annex 18 row - added per the EU Gender-Age Marker requirement referenced in the Logframe's Result 1 Indicator 2 definition ('gender and age responsive in line with the EU Gender-Age Marker')</t>
  </si>
  <si>
    <t xml:space="preserve">Reviewed at each quarterly data review (see MEAL Plan Section 8) alongside disaggregation checks in the IPTT.</t>
  </si>
  <si>
    <t xml:space="preserve">CLOSE - Learning, Evaluation and Visibility (project close-out)</t>
  </si>
  <si>
    <t xml:space="preserve">Closeout</t>
  </si>
  <si>
    <t xml:space="preserve">CLOSE-1</t>
  </si>
  <si>
    <t xml:space="preserve">Contribute to the national and local level lesson-learned workshop.</t>
  </si>
  <si>
    <t xml:space="preserve">FIVDB participation and case examples shared</t>
  </si>
  <si>
    <t xml:space="preserve">Learning / close-out</t>
  </si>
  <si>
    <t xml:space="preserve">Workshop report; presentation/case material</t>
  </si>
  <si>
    <t xml:space="preserve">Annex 18 Workplan, Row 153 (National and Local level lesson learned workshop)</t>
  </si>
  <si>
    <t xml:space="preserve">Per Annex 18 Workplan, Row 153; draws on the Case Story template (Field Reporting Templates, Template 9).</t>
  </si>
  <si>
    <t xml:space="preserve">CLOSE-2</t>
  </si>
  <si>
    <t xml:space="preserve">Support the SC-led external final evaluation (data access, KIIs/FGDs, verification of final indicator values).</t>
  </si>
  <si>
    <t xml:space="preserve">Full cooperation with evaluators</t>
  </si>
  <si>
    <t xml:space="preserve">evaluation</t>
  </si>
  <si>
    <t xml:space="preserve">Evaluation / close-out</t>
  </si>
  <si>
    <t xml:space="preserve">Evaluation report (SC-led); FIVDB data-access log</t>
  </si>
  <si>
    <t xml:space="preserve">Annex 18 Workplan, Row 158 (SCI-Final Evaluation, External)</t>
  </si>
  <si>
    <t xml:space="preserve">Per Annex 18 Workplan, Row 158; mirrors 'Final evaluation contribution' in the M&amp;E Calendar.</t>
  </si>
  <si>
    <t xml:space="preserve">CLOSE-3</t>
  </si>
  <si>
    <t xml:space="preserve">Contribute FIVDB content (photos, case/success stories, quotes) to the consortium's video documentary and other visibility/media and printing products.</t>
  </si>
  <si>
    <t xml:space="preserve">FIVDB content supplied on request</t>
  </si>
  <si>
    <t xml:space="preserve">products</t>
  </si>
  <si>
    <t xml:space="preserve">Communications / visibility</t>
  </si>
  <si>
    <t xml:space="preserve">Signed consent forms; content log</t>
  </si>
  <si>
    <t xml:space="preserve">Annex 18 Workplan, Row 159 (Video documentary, Media and Printing)</t>
  </si>
  <si>
    <t xml:space="preserve">Per Annex 18 Workplan, Row 159; must follow the consent and approval requirements in the Success Story template (Field Reporting Templates, Template 10).</t>
  </si>
  <si>
    <t xml:space="preserve">10. Activity-wise Data Collection Log</t>
  </si>
  <si>
    <t xml:space="preserve">One row per actual conducted session/event (not per planned activity - see the Activity Tracker for planning). Populate from the Attendance Sheets (Field Reporting Templates, Templates 14-15) after each event. 'Host' = host-community participants; 'FDMN' = Forcibly Displaced Myanmar Nationals (Rohingya refugee participants), the official Government of Bangladesh terminology. Each population is split by sex and age using Girls &lt;18 / Boys &lt;18 / Female 18+ / Male 18+ throughout. Select the Activity Code from the dropdown (sourced live from the Activity Tracker): Target Number and Linked Indicator(s) are then pulled automatically (relational lookup), and Discrepancy/% of Target calculate automatically against Total Participants. Pre-Test/Post-Test Score and Knowledge Change (% = (Post-Pre)/Pre) apply to training-type sessions only (leave blank otherwise) and support the IPTT's knowledge-increase indicators (R1-I5, R1-I7, R2-I3) - Evidence should reference where the actual test sheets/attendance records are filed. IMPORTANT: Event Date is REQUIRED, not optional, for every row with participants entered - Quarter and Month are auto-derived from it, and the Activity Tracker/IPTT auto-link ONLY picks up rows that have a Quarter. A row with participants but no Event Date will show correctly in this sheet's own Total Participants, but will NOT appear anywhere else (Activity Tracker ACTUAL, IPTT ACTUAL, Dashboard) - the Event Date cell turns red as a warning if this happens. Hosting Organisation records who convened/hosted the session (usually FIVDB, but note if co-hosted with PIB/SC/other). Budgetary/Non-budgetary flags whether this specific instance drew on the project budget or was delivered at no direct cost (e.g. volunteer-led, in-kind). 'Total Day(s)' excludes Friday and Saturday (Bangladesh's weekend) by default - see the Methodology Note below the table. CWD = number of participants who are children/persons with disability.</t>
  </si>
  <si>
    <t xml:space="preserve">SL#</t>
  </si>
  <si>
    <t xml:space="preserve">Event / Activity Title</t>
  </si>
  <si>
    <t xml:space="preserve">Event Date
(Start)</t>
  </si>
  <si>
    <t xml:space="preserve">End Date</t>
  </si>
  <si>
    <t xml:space="preserve">Total
Day(s)
(excl. weekend)</t>
  </si>
  <si>
    <t xml:space="preserve">Facilitated /
Conducted By</t>
  </si>
  <si>
    <t xml:space="preserve">Budgetary /
Non-budgetary</t>
  </si>
  <si>
    <t xml:space="preserve">Hosting
Organisation</t>
  </si>
  <si>
    <t xml:space="preserve">Discussion Area / Topic</t>
  </si>
  <si>
    <t xml:space="preserve">Sex &amp; Age - Host (community)</t>
  </si>
  <si>
    <t xml:space="preserve">Sex &amp; Age - FDMN (Rohingya)</t>
  </si>
  <si>
    <t xml:space="preserve">Total
Participants</t>
  </si>
  <si>
    <t xml:space="preserve">CWD
(Children/Persons
with Disability)</t>
  </si>
  <si>
    <t xml:space="preserve">Pre-Test
Score (avg)</t>
  </si>
  <si>
    <t xml:space="preserve">Post-Test
Score (avg)</t>
  </si>
  <si>
    <t xml:space="preserve">Knowledge
Change %
(Post-Pre)/Pre</t>
  </si>
  <si>
    <t xml:space="preserve">Target Number
(from Activity Tracker)</t>
  </si>
  <si>
    <t xml:space="preserve">Discrepancy
(Actual - Target)</t>
  </si>
  <si>
    <t xml:space="preserve">% of
Target</t>
  </si>
  <si>
    <t xml:space="preserve">Linked Indicator(s)
(from Activity Tracker)</t>
  </si>
  <si>
    <t xml:space="preserve">Quarter</t>
  </si>
  <si>
    <t xml:space="preserve">Month</t>
  </si>
  <si>
    <t xml:space="preserve">Evidence
(document/file reference)</t>
  </si>
  <si>
    <t xml:space="preserve">Male
18+</t>
  </si>
  <si>
    <t xml:space="preserve">Female
18+</t>
  </si>
  <si>
    <t xml:space="preserve">TOTAL (all rows above)</t>
  </si>
  <si>
    <t xml:space="preserve">11. Distribution Log</t>
  </si>
  <si>
    <t xml:space="preserve">One row per item distributed per distribution event (a single distribution day covering multiple items may need multiple rows). Populate from the Distribution Report (Field Reporting Templates, Template 3) after each distribution. 'Host' = host-community recipients; 'FDMN' = Forcibly Displaced Myanmar Nationals (Rohingya refugee recipients), each split by sex and age using Girls &lt;18 / Boys &lt;18 / Female 18+ / Male 18+ throughout. 'Facility/Centre' records the specific CBLF/MPCAC/office (beyond just Camp) where the distribution happened. Select the Activity Code from the dropdown (sourced live from the Activity Tracker): Target Number, Discrepancy, % of Target and Linked Indicator(s) all pull/calculate automatically against Total Recipients - the same relational link used throughout this workbook. ODM = On-site/On-going Distribution Monitoring conducted during the distribution itself; PDM = Post-Distribution Monitoring conducted with a sample of recipients afterward (Field Reporting Templates, Template 3 process). ODM/PDM Findings capture what was actually observed/reported - e.g. quality issues, complaints, appropriateness of items - not just whether the check happened. IMPORTANT: Distribution Date is REQUIRED, not optional, for every row with recipients entered - Quarter/Month are auto-derived from it, and the Activity Tracker/IPTT auto-link ONLY picks up rows that have a Quarter. A row with recipients but no Distribution Date will NOT appear in Activity Tracker ACTUAL, IPTT ACTUAL or the Dashboard - the Distribution Date cell turns red as a warning if this happens. Narrative auto-drafts a fill-in-the-blank reporting sentence. Budgetary/Non-budgetary flags whether this specific distribution drew on the project budget or was delivered at no direct cost (e.g. donated/in-kind items).</t>
  </si>
  <si>
    <t xml:space="preserve">Distribution Title</t>
  </si>
  <si>
    <t xml:space="preserve">Facility /
Centre</t>
  </si>
  <si>
    <t xml:space="preserve">Distribution
Date</t>
  </si>
  <si>
    <t xml:space="preserve">Distributed By</t>
  </si>
  <si>
    <t xml:space="preserve">Item</t>
  </si>
  <si>
    <t xml:space="preserve">Qty
Planned</t>
  </si>
  <si>
    <t xml:space="preserve">Qty
Distributed</t>
  </si>
  <si>
    <t xml:space="preserve">Recipients - Host (community)</t>
  </si>
  <si>
    <t xml:space="preserve">Recipients - FDMN (Rohingya)</t>
  </si>
  <si>
    <t xml:space="preserve">Total
Recipients</t>
  </si>
  <si>
    <t xml:space="preserve">ODM Done?
(Y/N)</t>
  </si>
  <si>
    <t xml:space="preserve">ODM Date</t>
  </si>
  <si>
    <t xml:space="preserve">ODM Findings</t>
  </si>
  <si>
    <t xml:space="preserve">PDM Done?
(Y/N)</t>
  </si>
  <si>
    <t xml:space="preserve">PDM Date</t>
  </si>
  <si>
    <t xml:space="preserve">PDM Findings</t>
  </si>
  <si>
    <t xml:space="preserve">Narrative (auto-drafted)</t>
  </si>
  <si>
    <t xml:space="preserve">12. Dropout Tracker - Learners, Staff &amp; Volunteers</t>
  </si>
  <si>
    <t xml:space="preserve">Tracks retention/dropout by quarter for learners (feeds SO-I2), FIVDB staff (by designation), and FIVDB/community volunteers (by designation and Rohingya/Host). Sex &amp; age segregation follows the same convention used throughout this workbook: Girls &lt;18 / Boys &lt;18 for learners; Female 18+ / Male 18+ for staff and volunteers. Dropout % = Dropped Out / (At Start + New during the quarter). A month-wise trend summary (Section D) sits at the end, grouped under quarter, for a quick visual check between quarterly reviews.</t>
  </si>
  <si>
    <t xml:space="preserve">A. Learner Dropout (CBLFs, feeds SO-I2)</t>
  </si>
  <si>
    <t xml:space="preserve">At Start
(Girls &lt;18)</t>
  </si>
  <si>
    <t xml:space="preserve">At Start
(Boys &lt;18)</t>
  </si>
  <si>
    <t xml:space="preserve">New
(Girls &lt;18)</t>
  </si>
  <si>
    <t xml:space="preserve">New
(Boys &lt;18)</t>
  </si>
  <si>
    <t xml:space="preserve">Dropped Out
(Girls &lt;18)</t>
  </si>
  <si>
    <t xml:space="preserve">Dropped Out
(Boys &lt;18)</t>
  </si>
  <si>
    <t xml:space="preserve">Retained at End
(1 / 2 / Total)</t>
  </si>
  <si>
    <t xml:space="preserve">Dropout %
(1)</t>
  </si>
  <si>
    <t xml:space="preserve">Dropout %
(2)</t>
  </si>
  <si>
    <t xml:space="preserve">Dropout %
(Total)</t>
  </si>
  <si>
    <t xml:space="preserve">Cumulative</t>
  </si>
  <si>
    <t xml:space="preserve">Project Coordinator</t>
  </si>
  <si>
    <t xml:space="preserve">At Start
(Female 18+)</t>
  </si>
  <si>
    <t xml:space="preserve">At Start
(Male 18+)</t>
  </si>
  <si>
    <t xml:space="preserve">New
(Female 18+)</t>
  </si>
  <si>
    <t xml:space="preserve">New
(Male 18+)</t>
  </si>
  <si>
    <t xml:space="preserve">Dropped Out
(Female 18+)</t>
  </si>
  <si>
    <t xml:space="preserve">Dropped Out
(Male 18+)</t>
  </si>
  <si>
    <t xml:space="preserve">Child Protection Officer</t>
  </si>
  <si>
    <t xml:space="preserve">Technical Officer – EiE</t>
  </si>
  <si>
    <t xml:space="preserve">Field Officer / Programme Organiser</t>
  </si>
  <si>
    <t xml:space="preserve">M&amp;E Officer</t>
  </si>
  <si>
    <t xml:space="preserve">Admin &amp; Finance Officer</t>
  </si>
  <si>
    <t xml:space="preserve">Admin &amp; Logistics Assistant</t>
  </si>
  <si>
    <t xml:space="preserve">Office Support Staff</t>
  </si>
  <si>
    <t xml:space="preserve">Teaching Volunteer – Rohingya (FDMN)</t>
  </si>
  <si>
    <t xml:space="preserve">Teaching Volunteer – Host</t>
  </si>
  <si>
    <t xml:space="preserve">Case Management Volunteer – Rohingya (FDMN)</t>
  </si>
  <si>
    <t xml:space="preserve">MPCAC Facilitator – Rohingya (FDMN)</t>
  </si>
  <si>
    <t xml:space="preserve">MPCAC Facilitator – Host</t>
  </si>
  <si>
    <t xml:space="preserve">PSS/PALS Volunteer – Rohingya (FDMN)</t>
  </si>
  <si>
    <t xml:space="preserve">D. Month-wise Dropout Trend Summary (grouped under quarter, age-segregated)</t>
  </si>
  <si>
    <t xml:space="preserve">Dropped-out count per month, by category AND age/sex segment (not combined), for a quick trend check between quarterly reviews. Enter monthly totals directly - these are independent entries, not auto-summed from Sections A-C above.</t>
  </si>
  <si>
    <t xml:space="preserve">Category / Segment</t>
  </si>
  <si>
    <t xml:space="preserve">Learners - Girls &lt;18</t>
  </si>
  <si>
    <t xml:space="preserve">Learners - Boys &lt;18</t>
  </si>
  <si>
    <t xml:space="preserve">Staff - Female 18+</t>
  </si>
  <si>
    <t xml:space="preserve">Staff - Male 18+</t>
  </si>
  <si>
    <t xml:space="preserve">Volunteers - Female 18+</t>
  </si>
  <si>
    <t xml:space="preserve">Volunteers - Male 18+</t>
  </si>
  <si>
    <t xml:space="preserve">E. Automatic Summary (aggregates Sections A-C - no manual entry, age-segregated)</t>
  </si>
  <si>
    <t xml:space="preserve">Every figure below is a live formula referencing the Cumulative row of each table in Sections A-C - if those figures change, this summary updates automatically. Each age/sex segment is shown on its own row, not combined, so a gap between e.g. girls' and boys' dropout rates is visible rather than averaged away.</t>
  </si>
  <si>
    <t xml:space="preserve">At Start+New (cumulative)</t>
  </si>
  <si>
    <t xml:space="preserve">Dropped Out (cumulative)</t>
  </si>
  <si>
    <t xml:space="preserve">Highest Single-Row Rate</t>
  </si>
  <si>
    <t xml:space="preserve">12b. Attendance Tracker - Learners (by Camp, Month-wise under Quarter)</t>
  </si>
  <si>
    <t xml:space="preserve">Monthly average attendance rate per camp, split Girls &lt;18 / Boys &lt;18, grouped under quarter. Sourced from CBLF daily/weekly attendance registers (Field Reporting Templates, Attendance Sheets 14-15) - enter the monthly average enrolled and average present, and Attendance % calculates automatically. This is a facility-level trend view; event-level attendance for specific sessions/trainings is recorded per-event in the Activity Data Log (Sheet 10).</t>
  </si>
  <si>
    <t xml:space="preserve">Segregation</t>
  </si>
  <si>
    <t xml:space="preserve">Avg Enrolled</t>
  </si>
  <si>
    <t xml:space="preserve">Avg Present</t>
  </si>
  <si>
    <t xml:space="preserve">Attendance %</t>
  </si>
  <si>
    <t xml:space="preserve">Compile - Automatic Summary (age-segregated, month-wise)</t>
  </si>
  <si>
    <t xml:space="preserve">Live formulas only - each row below directly references the Attendance % row already computed for that Camp + Age segment above, consolidated here for a single month-wise read (and for the Dashboard).</t>
  </si>
  <si>
    <t xml:space="preserve">Age Segment</t>
  </si>
  <si>
    <t xml:space="preserve">13. Activity-wise Smart Budget Tracking - A. Monthly</t>
  </si>
  <si>
    <t xml:space="preserve">SMART = Specific (real budget lines, not lump sums), Measurable (EUR/BDT with running %), Assigned (cross-referenced to Activity Tracker codes), Realistic (FIVDB's actual approved Detailed Budget), Time-bound (tracked monthly, rolled up to quarterly/yearly/total). Uses the Detailed Budget's own R1A1-R1A7/R2A1-R2A5 coding - DIFFERENT in scope from the Activity Tracker's Annex-18-based codes; see the Activity Tracker's own 'Related Budget Line' column for the reverse cross-reference. Enter cumulative-to-date expenditure (BDT) in the month it was incurred - Total Spent, % Utilised and Remaining Budget calculate automatically. Project period: Jun 2026 - May 2028 (24 months).</t>
  </si>
  <si>
    <t xml:space="preserve">Budget
Line</t>
  </si>
  <si>
    <t xml:space="preserve">Budget Line Title</t>
  </si>
  <si>
    <t xml:space="preserve">Approved
Budget (BDT)</t>
  </si>
  <si>
    <t xml:space="preserve">Approved
Budget (EUR)</t>
  </si>
  <si>
    <t xml:space="preserve">Monthly expenditure, cumulative-to-date (BDT) - enter each month</t>
  </si>
  <si>
    <t xml:space="preserve">Total Spent
(BDT)</t>
  </si>
  <si>
    <t xml:space="preserve">%
Utilised</t>
  </si>
  <si>
    <t xml:space="preserve">Remaining
(EUR)</t>
  </si>
  <si>
    <t xml:space="preserve">Identification, assessment and appropriate placement of out-of-school and dropout children, incl. disability screening (min. 3% target)</t>
  </si>
  <si>
    <t xml:space="preserve">Education Service Delivery Support: learning materials, teaching-volunteer incentives, CBLF minimum package, solar/fire safety, maintenance, assistive devices</t>
  </si>
  <si>
    <t xml:space="preserve">Gender-Appropriate Dignity Kits and MHM Support for adolescent girls</t>
  </si>
  <si>
    <t xml:space="preserve">Strengthening Technical/Operational Capacities of Staff, Teaching Volunteers and Consortium Partners</t>
  </si>
  <si>
    <t xml:space="preserve">Community Engagement (CESG), Caregiver Support and SEL Storybooks</t>
  </si>
  <si>
    <t xml:space="preserve">Child protection case management services (identification, assessment, planning, referral, closure)</t>
  </si>
  <si>
    <t xml:space="preserve">R2A2</t>
  </si>
  <si>
    <t xml:space="preserve">Establish and/or refurbish Multipurpose Centres + deliver MHPSS (shown as 0 in source - costs captured under R2A3 below)</t>
  </si>
  <si>
    <t xml:space="preserve">PSS and protection-focused group interventions via MPCACs (incl. establishment, ISMF, Men &amp; Boys Engagement, dignity/MHM kits)</t>
  </si>
  <si>
    <t xml:space="preserve">Strengthening community-based protection mechanisms (CBCPC, PALS, risk mapping, IPT/puppet, DRR training)</t>
  </si>
  <si>
    <t xml:space="preserve">Capacity-building for frontline staff/volunteers on CP-GBV integration</t>
  </si>
  <si>
    <t xml:space="preserve">HR</t>
  </si>
  <si>
    <t xml:space="preserve">Human Resources (all local staff salaries - Project Coordinator, Technical Coordinator, officers, M&amp;E, admin, etc.)</t>
  </si>
  <si>
    <t xml:space="preserve">RunCosts</t>
  </si>
  <si>
    <t xml:space="preserve">Running Costs (staff/support travel, office rent &amp; utilities, communications)</t>
  </si>
  <si>
    <t xml:space="preserve">Equip</t>
  </si>
  <si>
    <t xml:space="preserve">Equipment (laptops, furniture and fixtures)</t>
  </si>
  <si>
    <t xml:space="preserve">Indirect</t>
  </si>
  <si>
    <t xml:space="preserve">Indirect Costs (Local Partner ICR, max 2% of direct costs)</t>
  </si>
  <si>
    <t xml:space="preserve">TOTAL (all budget lines)</t>
  </si>
  <si>
    <t xml:space="preserve">13b. Activity-wise Smart Budget Tracking - B. Quarterly</t>
  </si>
  <si>
    <t xml:space="preserve">Auto-rolled up from the Monthly tab (Sheet 13) - Q1 = Jun-Aug 2026 ... Q8 = Mar-May 2028. Cumulative expenditure to the END of each quarter.</t>
  </si>
  <si>
    <t xml:space="preserve">Cumulative expenditure by quarter (BDT)</t>
  </si>
  <si>
    <t xml:space="preserve">13c. Activity-wise Smart Budget Tracking - C. Yearly &amp; Total Project Period</t>
  </si>
  <si>
    <t xml:space="preserve">Year 1 = Jun 2026-May 2027 (Q1-Q4); Year 2 = Jun 2027-May 2028 (Q5-Q8). Total column = full 24-month project period. Auto-rolled up from the Quarterly tab (Sheet 13b).</t>
  </si>
  <si>
    <t xml:space="preserve">Approved Budget
(EUR)</t>
  </si>
  <si>
    <t xml:space="preserve">Year 1 Spent
(EUR)</t>
  </si>
  <si>
    <t xml:space="preserve">Year 2 Spent
(EUR)</t>
  </si>
  <si>
    <t xml:space="preserve">Total Spent
(EUR)</t>
  </si>
  <si>
    <t xml:space="preserve">% Utilised
(Total)</t>
  </si>
  <si>
    <t xml:space="preserve">TOTAL PROJECT PERIOD (Jun 2026 - May 2028)</t>
  </si>
  <si>
    <t xml:space="preserve">Cross-check: Approved Budget total should equal 592,371.41 EUR (84,709,111.59 BDT), matching the Logframe's approved FIVDB allocation exactly.</t>
  </si>
  <si>
    <t xml:space="preserve">14. Activity List - FIVDB Implementation Activities (Simplified, for Team Sharing)</t>
  </si>
  <si>
    <t xml:space="preserve">A clean, non-technical extract of the Activity Tracker (Sheet 8), for circulating to field teams, partners or new staff who need the activity list without the tracking formulas/columns. Planned Start/End Quarter is derived from the Activity Tracker's PLANNED columns (first and last 'X' marked quarter). Q1 = Jun-Aug 2026 ... Q8 = Mar-May 2028.</t>
  </si>
  <si>
    <t xml:space="preserve">Sub-activity Code</t>
  </si>
  <si>
    <t xml:space="preserve">Activity Description</t>
  </si>
  <si>
    <t xml:space="preserve">Location</t>
  </si>
  <si>
    <t xml:space="preserve">Planned Start (Quarter)</t>
  </si>
  <si>
    <t xml:space="preserve">Planned End (Quarter)</t>
  </si>
</sst>
</file>

<file path=xl/styles.xml><?xml version="1.0" encoding="utf-8"?>
<styleSheet xmlns="http://schemas.openxmlformats.org/spreadsheetml/2006/main">
  <numFmts count="7">
    <numFmt numFmtId="164" formatCode="General"/>
    <numFmt numFmtId="165" formatCode="General"/>
    <numFmt numFmtId="166" formatCode="0%"/>
    <numFmt numFmtId="167" formatCode="#,##0.00&quot; EUR&quot;"/>
    <numFmt numFmtId="168" formatCode="#,##0"/>
    <numFmt numFmtId="169" formatCode="#,##0.00&quot; BDT&quot;"/>
    <numFmt numFmtId="170" formatCode="dd\-mmm\-yy"/>
  </numFmts>
  <fonts count="31">
    <font>
      <sz val="11"/>
      <color theme="1"/>
      <name val="Calibri"/>
      <family val="2"/>
      <charset val="1"/>
    </font>
    <font>
      <sz val="10"/>
      <name val="Arial"/>
      <family val="0"/>
    </font>
    <font>
      <sz val="10"/>
      <name val="Arial"/>
      <family val="0"/>
    </font>
    <font>
      <sz val="10"/>
      <name val="Arial"/>
      <family val="0"/>
    </font>
    <font>
      <b val="true"/>
      <sz val="12"/>
      <color rgb="FF2E7D6B"/>
      <name val="Calibri"/>
      <family val="0"/>
      <charset val="1"/>
    </font>
    <font>
      <b val="true"/>
      <sz val="18"/>
      <color rgb="FF1F3864"/>
      <name val="Calibri"/>
      <family val="0"/>
      <charset val="1"/>
    </font>
    <font>
      <i val="true"/>
      <sz val="11"/>
      <color rgb="FF595959"/>
      <name val="Calibri"/>
      <family val="0"/>
      <charset val="1"/>
    </font>
    <font>
      <b val="true"/>
      <sz val="10"/>
      <name val="Calibri"/>
      <family val="0"/>
      <charset val="1"/>
    </font>
    <font>
      <sz val="10"/>
      <name val="Calibri"/>
      <family val="0"/>
      <charset val="1"/>
    </font>
    <font>
      <b val="true"/>
      <sz val="12"/>
      <color rgb="FF1F3864"/>
      <name val="Calibri"/>
      <family val="0"/>
      <charset val="1"/>
    </font>
    <font>
      <i val="true"/>
      <sz val="9"/>
      <color rgb="FF595959"/>
      <name val="Calibri"/>
      <family val="0"/>
      <charset val="1"/>
    </font>
    <font>
      <b val="true"/>
      <sz val="13"/>
      <color rgb="FF1F3864"/>
      <name val="Calibri"/>
      <family val="0"/>
      <charset val="1"/>
    </font>
    <font>
      <b val="true"/>
      <sz val="10"/>
      <color rgb="FF1F3864"/>
      <name val="Calibri"/>
      <family val="0"/>
      <charset val="1"/>
    </font>
    <font>
      <sz val="9"/>
      <name val="Calibri"/>
      <family val="0"/>
      <charset val="1"/>
    </font>
    <font>
      <b val="true"/>
      <sz val="14"/>
      <color rgb="FF1F3864"/>
      <name val="Calibri"/>
      <family val="0"/>
      <charset val="1"/>
    </font>
    <font>
      <b val="true"/>
      <sz val="10"/>
      <color rgb="FFFFFFFF"/>
      <name val="Calibri"/>
      <family val="0"/>
      <charset val="1"/>
    </font>
    <font>
      <sz val="10"/>
      <color rgb="FF000000"/>
      <name val="Calibri"/>
      <family val="0"/>
      <charset val="1"/>
    </font>
    <font>
      <b val="true"/>
      <sz val="8"/>
      <color rgb="FFFFFFFF"/>
      <name val="Calibri"/>
      <family val="0"/>
      <charset val="1"/>
    </font>
    <font>
      <b val="true"/>
      <sz val="9"/>
      <color rgb="FFFFFFFF"/>
      <name val="Calibri"/>
      <family val="0"/>
      <charset val="1"/>
    </font>
    <font>
      <b val="true"/>
      <sz val="16"/>
      <color rgb="FF1F3864"/>
      <name val="Calibri"/>
      <family val="0"/>
      <charset val="1"/>
    </font>
    <font>
      <b val="true"/>
      <sz val="10"/>
      <color rgb="FF000000"/>
      <name val="Calibri"/>
      <family val="0"/>
      <charset val="1"/>
    </font>
    <font>
      <b val="true"/>
      <sz val="14"/>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1F3864"/>
      <name val="Calibri"/>
      <family val="0"/>
      <charset val="1"/>
    </font>
    <font>
      <b val="true"/>
      <sz val="11"/>
      <color rgb="FFFFFFFF"/>
      <name val="Calibri"/>
      <family val="0"/>
      <charset val="1"/>
    </font>
    <font>
      <b val="true"/>
      <sz val="14"/>
      <color rgb="FF0000FF"/>
      <name val="Calibri"/>
      <family val="0"/>
      <charset val="1"/>
    </font>
    <font>
      <i val="true"/>
      <sz val="9"/>
      <color rgb="FFC00000"/>
      <name val="Calibri"/>
      <family val="0"/>
      <charset val="1"/>
    </font>
    <font>
      <i val="true"/>
      <sz val="9"/>
      <name val="Calibri"/>
      <family val="0"/>
      <charset val="1"/>
    </font>
    <font>
      <b val="true"/>
      <sz val="10"/>
      <color rgb="FF0000FF"/>
      <name val="Calibri"/>
      <family val="0"/>
      <charset val="1"/>
    </font>
  </fonts>
  <fills count="17">
    <fill>
      <patternFill patternType="none"/>
    </fill>
    <fill>
      <patternFill patternType="gray125"/>
    </fill>
    <fill>
      <patternFill patternType="solid">
        <fgColor rgb="FF1F3864"/>
        <bgColor rgb="FF333399"/>
      </patternFill>
    </fill>
    <fill>
      <patternFill patternType="solid">
        <fgColor rgb="FFF2F2F2"/>
        <bgColor rgb="FFE2EFDA"/>
      </patternFill>
    </fill>
    <fill>
      <patternFill patternType="solid">
        <fgColor rgb="FF2E7D6B"/>
        <bgColor rgb="FF008080"/>
      </patternFill>
    </fill>
    <fill>
      <patternFill patternType="solid">
        <fgColor rgb="FFFFE699"/>
        <bgColor rgb="FFFFF2CC"/>
      </patternFill>
    </fill>
    <fill>
      <patternFill patternType="solid">
        <fgColor rgb="FFF8CBAD"/>
        <bgColor rgb="FFFFE699"/>
      </patternFill>
    </fill>
    <fill>
      <patternFill patternType="solid">
        <fgColor rgb="FFC6E0B4"/>
        <bgColor rgb="FFD9D9D9"/>
      </patternFill>
    </fill>
    <fill>
      <patternFill patternType="solid">
        <fgColor rgb="FFD9E2E1"/>
        <bgColor rgb="FFD9E2F3"/>
      </patternFill>
    </fill>
    <fill>
      <patternFill patternType="solid">
        <fgColor rgb="FF7F6000"/>
        <bgColor rgb="FF595959"/>
      </patternFill>
    </fill>
    <fill>
      <patternFill patternType="solid">
        <fgColor rgb="FFFFF2CC"/>
        <bgColor rgb="FFFCE4D6"/>
      </patternFill>
    </fill>
    <fill>
      <patternFill patternType="solid">
        <fgColor rgb="FFE2EFDA"/>
        <bgColor rgb="FFDDEBF7"/>
      </patternFill>
    </fill>
    <fill>
      <patternFill patternType="solid">
        <fgColor rgb="FFD9E2F3"/>
        <bgColor rgb="FFD9E2E1"/>
      </patternFill>
    </fill>
    <fill>
      <patternFill patternType="solid">
        <fgColor rgb="FFC00000"/>
        <bgColor rgb="FF800000"/>
      </patternFill>
    </fill>
    <fill>
      <patternFill patternType="solid">
        <fgColor rgb="FFFCE4D6"/>
        <bgColor rgb="FFFFF2CC"/>
      </patternFill>
    </fill>
    <fill>
      <patternFill patternType="solid">
        <fgColor rgb="FFBF9000"/>
        <bgColor rgb="FFFF6600"/>
      </patternFill>
    </fill>
    <fill>
      <patternFill patternType="solid">
        <fgColor rgb="FFDDEBF7"/>
        <bgColor rgb="FFD9E2F3"/>
      </patternFill>
    </fill>
  </fills>
  <borders count="4">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style="thin">
        <color rgb="FFB7B7B7"/>
      </right>
      <top style="thin">
        <color rgb="FFB7B7B7"/>
      </top>
      <bottom/>
      <diagonal/>
    </border>
    <border diagonalUp="false" diagonalDown="false">
      <left style="thin">
        <color rgb="FFB7B7B7"/>
      </left>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6" fillId="3" borderId="1" xfId="0" applyFont="true" applyBorder="true" applyAlignment="true" applyProtection="false">
      <alignment horizontal="left" vertical="top" textRotation="0" wrapText="true" indent="0" shrinkToFit="false"/>
      <protection locked="true" hidden="false"/>
    </xf>
    <xf numFmtId="164" fontId="15" fillId="2" borderId="2" xfId="0" applyFont="true" applyBorder="true" applyAlignment="true" applyProtection="false">
      <alignment horizontal="center" vertical="center" textRotation="0" wrapText="true" indent="0" shrinkToFit="false"/>
      <protection locked="true" hidden="false"/>
    </xf>
    <xf numFmtId="164" fontId="15" fillId="4" borderId="3"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8" fillId="2" borderId="3" xfId="0" applyFont="true" applyBorder="true" applyAlignment="true" applyProtection="false">
      <alignment horizontal="center" vertical="center" textRotation="0" wrapText="true" indent="0" shrinkToFit="false"/>
      <protection locked="true" hidden="false"/>
    </xf>
    <xf numFmtId="165" fontId="19" fillId="0" borderId="3" xfId="0" applyFont="true" applyBorder="true" applyAlignment="true" applyProtection="false">
      <alignment horizontal="center" vertical="center" textRotation="0" wrapText="false" indent="0" shrinkToFit="false"/>
      <protection locked="true" hidden="false"/>
    </xf>
    <xf numFmtId="166" fontId="19" fillId="0" borderId="3" xfId="0" applyFont="true" applyBorder="true" applyAlignment="true" applyProtection="false">
      <alignment horizontal="center" vertical="center" textRotation="0" wrapText="false" indent="0" shrinkToFit="false"/>
      <protection locked="true" hidden="false"/>
    </xf>
    <xf numFmtId="164" fontId="15" fillId="6" borderId="3" xfId="0" applyFont="true" applyBorder="true" applyAlignment="true" applyProtection="false">
      <alignment horizontal="center" vertical="center" textRotation="0" wrapText="true" indent="0" shrinkToFit="false"/>
      <protection locked="true" hidden="false"/>
    </xf>
    <xf numFmtId="164" fontId="20" fillId="0" borderId="3" xfId="0" applyFont="true" applyBorder="true" applyAlignment="true" applyProtection="false">
      <alignment horizontal="left" vertical="top" textRotation="0" wrapText="true" indent="0" shrinkToFit="false"/>
      <protection locked="true" hidden="false"/>
    </xf>
    <xf numFmtId="164" fontId="16" fillId="0" borderId="3" xfId="0" applyFont="true" applyBorder="true" applyAlignment="true" applyProtection="false">
      <alignment horizontal="left" vertical="top" textRotation="0" wrapText="true" indent="0" shrinkToFit="false"/>
      <protection locked="true" hidden="false"/>
    </xf>
    <xf numFmtId="165" fontId="20" fillId="5" borderId="3" xfId="0" applyFont="true" applyBorder="true" applyAlignment="true" applyProtection="false">
      <alignment horizontal="left" vertical="top" textRotation="0" wrapText="true" indent="0" shrinkToFit="false"/>
      <protection locked="true" hidden="false"/>
    </xf>
    <xf numFmtId="164" fontId="15" fillId="2" borderId="3" xfId="0" applyFont="true" applyBorder="true" applyAlignment="true" applyProtection="false">
      <alignment horizontal="center" vertical="center" textRotation="0" wrapText="true" indent="0" shrinkToFit="false"/>
      <protection locked="true" hidden="false"/>
    </xf>
    <xf numFmtId="165" fontId="21" fillId="7" borderId="3" xfId="0" applyFont="true" applyBorder="true" applyAlignment="true" applyProtection="false">
      <alignment horizontal="center" vertical="bottom" textRotation="0" wrapText="false" indent="0" shrinkToFit="false"/>
      <protection locked="true" hidden="false"/>
    </xf>
    <xf numFmtId="165" fontId="21" fillId="5" borderId="3" xfId="0" applyFont="true" applyBorder="true" applyAlignment="true" applyProtection="false">
      <alignment horizontal="center" vertical="bottom" textRotation="0" wrapText="false" indent="0" shrinkToFit="false"/>
      <protection locked="true" hidden="false"/>
    </xf>
    <xf numFmtId="165" fontId="21" fillId="6" borderId="3" xfId="0" applyFont="true" applyBorder="true" applyAlignment="true" applyProtection="false">
      <alignment horizontal="center" vertical="bottom" textRotation="0" wrapText="false" indent="0" shrinkToFit="false"/>
      <protection locked="true" hidden="false"/>
    </xf>
    <xf numFmtId="165" fontId="21" fillId="3" borderId="3" xfId="0" applyFont="true" applyBorder="true" applyAlignment="true" applyProtection="false">
      <alignment horizontal="center" vertical="bottom" textRotation="0" wrapText="false" indent="0" shrinkToFit="false"/>
      <protection locked="true" hidden="false"/>
    </xf>
    <xf numFmtId="166" fontId="20" fillId="0" borderId="3" xfId="0" applyFont="true" applyBorder="true" applyAlignment="true" applyProtection="false">
      <alignment horizontal="left" vertical="top" textRotation="0" wrapText="true" indent="0" shrinkToFit="false"/>
      <protection locked="true" hidden="false"/>
    </xf>
    <xf numFmtId="165" fontId="16" fillId="7" borderId="3" xfId="0" applyFont="true" applyBorder="true" applyAlignment="true" applyProtection="false">
      <alignment horizontal="left" vertical="top" textRotation="0" wrapText="true" indent="0" shrinkToFit="false"/>
      <protection locked="true" hidden="false"/>
    </xf>
    <xf numFmtId="165" fontId="16" fillId="5" borderId="3" xfId="0" applyFont="true" applyBorder="true" applyAlignment="true" applyProtection="false">
      <alignment horizontal="left" vertical="top" textRotation="0" wrapText="true" indent="0" shrinkToFit="false"/>
      <protection locked="true" hidden="false"/>
    </xf>
    <xf numFmtId="165" fontId="16" fillId="6" borderId="3" xfId="0" applyFont="true" applyBorder="true" applyAlignment="true" applyProtection="false">
      <alignment horizontal="left" vertical="top" textRotation="0" wrapText="true" indent="0" shrinkToFit="false"/>
      <protection locked="true" hidden="false"/>
    </xf>
    <xf numFmtId="167" fontId="20" fillId="0" borderId="3" xfId="0" applyFont="true" applyBorder="true" applyAlignment="true" applyProtection="false">
      <alignment horizontal="left" vertical="top" textRotation="0" wrapText="true" indent="0" shrinkToFit="false"/>
      <protection locked="true" hidden="false"/>
    </xf>
    <xf numFmtId="165" fontId="20" fillId="8" borderId="3" xfId="0" applyFont="true" applyBorder="true" applyAlignment="true" applyProtection="false">
      <alignment horizontal="left" vertical="top" textRotation="0" wrapText="true" indent="0" shrinkToFit="false"/>
      <protection locked="true" hidden="false"/>
    </xf>
    <xf numFmtId="164" fontId="20" fillId="8" borderId="3"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6" fontId="16" fillId="0" borderId="1" xfId="0" applyFont="true" applyBorder="true" applyAlignment="true" applyProtection="false">
      <alignment horizontal="left" vertical="top" textRotation="0" wrapText="true" indent="0" shrinkToFit="false"/>
      <protection locked="true" hidden="false"/>
    </xf>
    <xf numFmtId="168" fontId="16" fillId="0" borderId="3" xfId="0" applyFont="true" applyBorder="true" applyAlignment="true" applyProtection="false">
      <alignment horizontal="left" vertical="top" textRotation="0" wrapText="true" indent="0" shrinkToFit="false"/>
      <protection locked="true" hidden="false"/>
    </xf>
    <xf numFmtId="165" fontId="20" fillId="8" borderId="1" xfId="0" applyFont="true" applyBorder="true" applyAlignment="true" applyProtection="false">
      <alignment horizontal="left" vertical="top"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5" fillId="9" borderId="3" xfId="0" applyFont="true" applyBorder="true" applyAlignment="true" applyProtection="false">
      <alignment horizontal="center" vertical="center" textRotation="0" wrapText="true" indent="0" shrinkToFit="false"/>
      <protection locked="true" hidden="false"/>
    </xf>
    <xf numFmtId="164" fontId="16" fillId="10" borderId="1" xfId="0" applyFont="true" applyBorder="true" applyAlignment="true" applyProtection="false">
      <alignment horizontal="center" vertical="top" textRotation="0" wrapText="true" indent="0" shrinkToFit="false"/>
      <protection locked="true" hidden="false"/>
    </xf>
    <xf numFmtId="164" fontId="16" fillId="10" borderId="1" xfId="0" applyFont="true" applyBorder="true" applyAlignment="true" applyProtection="false">
      <alignment horizontal="left" vertical="top" textRotation="0" wrapText="true" indent="0" shrinkToFit="false"/>
      <protection locked="true" hidden="false"/>
    </xf>
    <xf numFmtId="164" fontId="16" fillId="11" borderId="1" xfId="0" applyFont="true" applyBorder="true" applyAlignment="true" applyProtection="false">
      <alignment horizontal="center" vertical="top" textRotation="0" wrapText="true" indent="0" shrinkToFit="false"/>
      <protection locked="true" hidden="false"/>
    </xf>
    <xf numFmtId="164" fontId="25" fillId="0" borderId="0" xfId="0" applyFont="true" applyBorder="true" applyAlignment="true" applyProtection="false">
      <alignment horizontal="left" vertical="center" textRotation="0" wrapText="false" indent="0" shrinkToFit="false"/>
      <protection locked="true" hidden="false"/>
    </xf>
    <xf numFmtId="164" fontId="20" fillId="8" borderId="1" xfId="0" applyFont="true" applyBorder="true" applyAlignment="true" applyProtection="false">
      <alignment horizontal="center" vertical="top" textRotation="0" wrapText="true" indent="0" shrinkToFit="false"/>
      <protection locked="true" hidden="false"/>
    </xf>
    <xf numFmtId="164" fontId="20" fillId="12" borderId="1" xfId="0" applyFont="true" applyBorder="true" applyAlignment="true" applyProtection="false">
      <alignment horizontal="left" vertical="top" textRotation="0" wrapText="true" indent="0" shrinkToFit="false"/>
      <protection locked="true" hidden="false"/>
    </xf>
    <xf numFmtId="164" fontId="16" fillId="12" borderId="1" xfId="0" applyFont="true" applyBorder="true" applyAlignment="true" applyProtection="false">
      <alignment horizontal="center" vertical="top" textRotation="0" wrapText="true" indent="0" shrinkToFit="false"/>
      <protection locked="true" hidden="false"/>
    </xf>
    <xf numFmtId="164" fontId="16" fillId="12" borderId="1" xfId="0" applyFont="true" applyBorder="true" applyAlignment="true" applyProtection="false">
      <alignment horizontal="left" vertical="top" textRotation="0" wrapText="true" indent="0" shrinkToFit="false"/>
      <protection locked="true" hidden="false"/>
    </xf>
    <xf numFmtId="164" fontId="20" fillId="10" borderId="1" xfId="0" applyFont="true" applyBorder="true" applyAlignment="true" applyProtection="false">
      <alignment horizontal="left" vertical="top" textRotation="0" wrapText="true" indent="0" shrinkToFit="false"/>
      <protection locked="true" hidden="false"/>
    </xf>
    <xf numFmtId="164" fontId="26" fillId="13" borderId="0" xfId="0" applyFont="true" applyBorder="false" applyAlignment="true" applyProtection="false">
      <alignment horizontal="left" vertical="center" textRotation="0" wrapText="false" indent="0" shrinkToFit="false"/>
      <protection locked="true" hidden="false"/>
    </xf>
    <xf numFmtId="164" fontId="27" fillId="10" borderId="1"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true" applyAlignment="false" applyProtection="false">
      <alignment horizontal="general" vertical="bottom" textRotation="0" wrapText="false" indent="0" shrinkToFit="false"/>
      <protection locked="true" hidden="false"/>
    </xf>
    <xf numFmtId="166" fontId="30" fillId="10" borderId="1" xfId="0" applyFont="true" applyBorder="true" applyAlignment="true" applyProtection="false">
      <alignment horizontal="center" vertical="bottom" textRotation="0" wrapText="false" indent="0" shrinkToFit="false"/>
      <protection locked="true" hidden="false"/>
    </xf>
    <xf numFmtId="166" fontId="30" fillId="14" borderId="1" xfId="0" applyFont="true" applyBorder="true" applyAlignment="true" applyProtection="false">
      <alignment horizontal="center" vertical="bottom" textRotation="0" wrapText="false" indent="0" shrinkToFit="false"/>
      <protection locked="true" hidden="false"/>
    </xf>
    <xf numFmtId="164" fontId="18" fillId="15" borderId="1" xfId="0" applyFont="true" applyBorder="true" applyAlignment="true" applyProtection="false">
      <alignment horizontal="center" vertical="center" textRotation="0" wrapText="tru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26" fillId="2" borderId="0" xfId="0" applyFont="true" applyBorder="true" applyAlignment="true" applyProtection="false">
      <alignment horizontal="left" vertical="center" textRotation="0" wrapText="false" indent="0" shrinkToFit="false"/>
      <protection locked="true" hidden="false"/>
    </xf>
    <xf numFmtId="165" fontId="16" fillId="16" borderId="1" xfId="0" applyFont="true" applyBorder="true" applyAlignment="true" applyProtection="false">
      <alignment horizontal="center" vertical="top" textRotation="0" wrapText="true" indent="0" shrinkToFit="false"/>
      <protection locked="true" hidden="false"/>
    </xf>
    <xf numFmtId="166" fontId="16" fillId="0" borderId="1" xfId="0" applyFont="true" applyBorder="true" applyAlignment="true" applyProtection="false">
      <alignment horizontal="center"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16" fillId="10" borderId="1" xfId="0" applyFont="true" applyBorder="true" applyAlignment="true" applyProtection="false">
      <alignment horizontal="center" vertical="top" textRotation="0" wrapText="true" indent="0" shrinkToFit="false"/>
      <protection locked="true" hidden="false"/>
    </xf>
    <xf numFmtId="164" fontId="18" fillId="4"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bottom" textRotation="0" wrapText="false" indent="0" shrinkToFit="false"/>
      <protection locked="true" hidden="false"/>
    </xf>
    <xf numFmtId="167" fontId="16" fillId="0" borderId="1" xfId="0" applyFont="true" applyBorder="true" applyAlignment="true" applyProtection="false">
      <alignment horizontal="center" vertical="top" textRotation="0" wrapText="true" indent="0" shrinkToFit="false"/>
      <protection locked="true" hidden="false"/>
    </xf>
    <xf numFmtId="169" fontId="16" fillId="0" borderId="1" xfId="0" applyFont="true" applyBorder="true" applyAlignment="true" applyProtection="false">
      <alignment horizontal="center" vertical="top" textRotation="0" wrapText="true" indent="0" shrinkToFit="false"/>
      <protection locked="true" hidden="false"/>
    </xf>
    <xf numFmtId="170" fontId="16" fillId="0" borderId="1" xfId="0" applyFont="true" applyBorder="true" applyAlignment="true" applyProtection="false">
      <alignment horizontal="center" vertical="top" textRotation="0" wrapText="true" indent="0" shrinkToFit="false"/>
      <protection locked="true" hidden="false"/>
    </xf>
    <xf numFmtId="164" fontId="16" fillId="3" borderId="1" xfId="0" applyFont="true" applyBorder="true" applyAlignment="true" applyProtection="false">
      <alignment horizontal="center" vertical="top" textRotation="0" wrapText="true" indent="0" shrinkToFit="false"/>
      <protection locked="true" hidden="false"/>
    </xf>
    <xf numFmtId="170" fontId="16" fillId="3" borderId="1" xfId="0" applyFont="true" applyBorder="true" applyAlignment="true" applyProtection="false">
      <alignment horizontal="center" vertical="top" textRotation="0" wrapText="true" indent="0" shrinkToFit="false"/>
      <protection locked="true" hidden="false"/>
    </xf>
    <xf numFmtId="166" fontId="16" fillId="3" borderId="1" xfId="0" applyFont="true" applyBorder="true" applyAlignment="true" applyProtection="false">
      <alignment horizontal="center" vertical="top" textRotation="0" wrapText="true" indent="0" shrinkToFit="false"/>
      <protection locked="true" hidden="false"/>
    </xf>
    <xf numFmtId="166" fontId="20" fillId="8" borderId="1" xfId="0" applyFont="true" applyBorder="true" applyAlignment="true" applyProtection="false">
      <alignment horizontal="left"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20" fillId="5" borderId="3" xfId="0" applyFont="true" applyBorder="true" applyAlignment="true" applyProtection="false">
      <alignment horizontal="left" vertical="top" textRotation="0" wrapText="true" indent="0" shrinkToFit="false"/>
      <protection locked="true" hidden="false"/>
    </xf>
    <xf numFmtId="166" fontId="20" fillId="6" borderId="3" xfId="0" applyFont="true" applyBorder="true" applyAlignment="true" applyProtection="false">
      <alignment horizontal="left" vertical="top" textRotation="0" wrapText="true" indent="0" shrinkToFit="false"/>
      <protection locked="true" hidden="false"/>
    </xf>
    <xf numFmtId="168" fontId="16" fillId="0" borderId="1" xfId="0" applyFont="true" applyBorder="true" applyAlignment="true" applyProtection="false">
      <alignment horizontal="center" vertical="top" textRotation="0" wrapText="true" indent="0" shrinkToFit="false"/>
      <protection locked="true" hidden="false"/>
    </xf>
    <xf numFmtId="168" fontId="16" fillId="10" borderId="1" xfId="0" applyFont="true" applyBorder="true" applyAlignment="true" applyProtection="false">
      <alignment horizontal="center" vertical="top" textRotation="0" wrapText="true" indent="0" shrinkToFit="false"/>
      <protection locked="true" hidden="false"/>
    </xf>
    <xf numFmtId="168" fontId="20" fillId="8" borderId="1" xfId="0" applyFont="true" applyBorder="true" applyAlignment="true" applyProtection="false">
      <alignment horizontal="left" vertical="top" textRotation="0" wrapText="true" indent="0" shrinkToFit="false"/>
      <protection locked="true" hidden="false"/>
    </xf>
    <xf numFmtId="167" fontId="20" fillId="8"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bgColor rgb="FF000000"/>
        </patternFill>
      </fill>
    </dxf>
    <dxf>
      <fill>
        <patternFill patternType="solid">
          <fgColor rgb="FFD9E2F3"/>
          <bgColor rgb="FF000000"/>
        </patternFill>
      </fill>
    </dxf>
    <dxf>
      <fill>
        <patternFill patternType="solid">
          <fgColor rgb="FFBF9000"/>
          <bgColor rgb="FF000000"/>
        </patternFill>
      </fill>
    </dxf>
    <dxf>
      <fill>
        <patternFill patternType="solid">
          <fgColor rgb="FFDDEBF7"/>
          <bgColor rgb="FF000000"/>
        </patternFill>
      </fill>
    </dxf>
    <dxf>
      <fill>
        <patternFill patternType="solid">
          <fgColor rgb="FFF8CBAD"/>
          <bgColor rgb="FF000000"/>
        </patternFill>
      </fill>
    </dxf>
    <dxf>
      <fill>
        <patternFill>
          <bgColor rgb="FFC6E0B4"/>
        </patternFill>
      </fill>
    </dxf>
    <dxf>
      <fill>
        <patternFill>
          <bgColor rgb="FFFFE699"/>
        </patternFill>
      </fill>
    </dxf>
    <dxf>
      <fill>
        <patternFill>
          <bgColor rgb="FFF8CBAD"/>
        </patternFill>
      </fill>
    </dxf>
    <dxf>
      <fill>
        <patternFill patternType="solid">
          <fgColor rgb="FF2E7D6B"/>
          <bgColor rgb="FF000000"/>
        </patternFill>
      </fill>
    </dxf>
    <dxf>
      <fill>
        <patternFill patternType="solid">
          <fgColor rgb="FFF2F2F2"/>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7B7B7"/>
      <rgbColor rgb="FF878787"/>
      <rgbColor rgb="FFD9E2E1"/>
      <rgbColor rgb="FFC0504D"/>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E699"/>
      <rgbColor rgb="FFC6E0B4"/>
      <rgbColor rgb="FFFCE4D6"/>
      <rgbColor rgb="FFD9E2F3"/>
      <rgbColor rgb="FFF8CBAD"/>
      <rgbColor rgb="FF4F81BD"/>
      <rgbColor rgb="FF33CCCC"/>
      <rgbColor rgb="FF9BBB59"/>
      <rgbColor rgb="FFFFCC00"/>
      <rgbColor rgb="FFBF9000"/>
      <rgbColor rgb="FFFF6600"/>
      <rgbColor rgb="FF8064A2"/>
      <rgbColor rgb="FF969696"/>
      <rgbColor rgb="FF1F3864"/>
      <rgbColor rgb="FF2E7D6B"/>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Activity RAG Status Distribution</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'5b. Dashboard'!$B$153:$E$153</c:f>
              <c:strCache>
                <c:ptCount val="4"/>
                <c:pt idx="0">
                  <c:v>On Track</c:v>
                </c:pt>
                <c:pt idx="1">
                  <c:v>Slightly Behind</c:v>
                </c:pt>
                <c:pt idx="2">
                  <c:v>Behind</c:v>
                </c:pt>
                <c:pt idx="3">
                  <c:v>No data yet</c:v>
                </c:pt>
              </c:strCache>
            </c:strRef>
          </c:cat>
          <c:val>
            <c:numRef>
              <c:f>'5b. Dashboard'!$B$154</c:f>
              <c:numCache>
                <c:formatCode>General</c:formatCode>
                <c:ptCount val="1"/>
                <c:pt idx="0">
                  <c:v>0</c:v>
                </c:pt>
              </c:numCache>
            </c:numRef>
          </c:val>
        </c:ser>
        <c:ser>
          <c:idx val="1"/>
          <c:order val="1"/>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'5b. Dashboard'!$B$153:$E$153</c:f>
              <c:strCache>
                <c:ptCount val="4"/>
                <c:pt idx="0">
                  <c:v>On Track</c:v>
                </c:pt>
                <c:pt idx="1">
                  <c:v>Slightly Behind</c:v>
                </c:pt>
                <c:pt idx="2">
                  <c:v>Behind</c:v>
                </c:pt>
                <c:pt idx="3">
                  <c:v>No data yet</c:v>
                </c:pt>
              </c:strCache>
            </c:strRef>
          </c:cat>
          <c:val>
            <c:numRef>
              <c:f>'5b. Dashboard'!$C$154</c:f>
              <c:numCache>
                <c:formatCode>General</c:formatCode>
                <c:ptCount val="1"/>
                <c:pt idx="0">
                  <c:v>0</c:v>
                </c:pt>
              </c:numCache>
            </c:numRef>
          </c:val>
        </c:ser>
        <c:ser>
          <c:idx val="2"/>
          <c:order val="2"/>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'5b. Dashboard'!$B$153:$E$153</c:f>
              <c:strCache>
                <c:ptCount val="4"/>
                <c:pt idx="0">
                  <c:v>On Track</c:v>
                </c:pt>
                <c:pt idx="1">
                  <c:v>Slightly Behind</c:v>
                </c:pt>
                <c:pt idx="2">
                  <c:v>Behind</c:v>
                </c:pt>
                <c:pt idx="3">
                  <c:v>No data yet</c:v>
                </c:pt>
              </c:strCache>
            </c:strRef>
          </c:cat>
          <c:val>
            <c:numRef>
              <c:f>'5b. Dashboard'!$D$154</c:f>
              <c:numCache>
                <c:formatCode>General</c:formatCode>
                <c:ptCount val="1"/>
                <c:pt idx="0">
                  <c:v>0</c:v>
                </c:pt>
              </c:numCache>
            </c:numRef>
          </c:val>
        </c:ser>
        <c:ser>
          <c:idx val="3"/>
          <c:order val="3"/>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'5b. Dashboard'!$B$153:$E$153</c:f>
              <c:strCache>
                <c:ptCount val="4"/>
                <c:pt idx="0">
                  <c:v>On Track</c:v>
                </c:pt>
                <c:pt idx="1">
                  <c:v>Slightly Behind</c:v>
                </c:pt>
                <c:pt idx="2">
                  <c:v>Behind</c:v>
                </c:pt>
                <c:pt idx="3">
                  <c:v>No data yet</c:v>
                </c:pt>
              </c:strCache>
            </c:strRef>
          </c:cat>
          <c:val>
            <c:numRef>
              <c:f>'5b. Dashboard'!$E$154</c:f>
              <c:numCache>
                <c:formatCode>General</c:formatCode>
                <c:ptCount val="1"/>
                <c:pt idx="0">
                  <c:v>75</c:v>
                </c:pt>
              </c:numCache>
            </c:numRef>
          </c:val>
        </c:ser>
        <c:gapWidth val="150"/>
        <c:overlap val="0"/>
        <c:axId val="96703152"/>
        <c:axId val="20646011"/>
      </c:barChart>
      <c:catAx>
        <c:axId val="9670315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Status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646011"/>
        <c:crosses val="autoZero"/>
        <c:auto val="1"/>
        <c:lblAlgn val="ctr"/>
        <c:lblOffset val="100"/>
        <c:noMultiLvlLbl val="0"/>
      </c:catAx>
      <c:valAx>
        <c:axId val="2064601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sub-activities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70315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Dropout % by Category &amp; Segment</a:t>
            </a:r>
          </a:p>
        </c:rich>
      </c:tx>
      <c:overlay val="0"/>
      <c:spPr>
        <a:noFill/>
        <a:ln w="0">
          <a:noFill/>
        </a:ln>
      </c:spPr>
    </c:title>
    <c:autoTitleDeleted val="0"/>
    <c:plotArea>
      <c:barChart>
        <c:barDir val="bar"/>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'5b. Dashboard'!$B$175:$B$180</c:f>
              <c:strCache>
                <c:ptCount val="6"/>
                <c:pt idx="0">
                  <c:v>A. Learner Dropout - Girls &lt;18</c:v>
                </c:pt>
                <c:pt idx="1">
                  <c:v>A. Learner Dropout - Boys &lt;18</c:v>
                </c:pt>
                <c:pt idx="2">
                  <c:v>B. Staff Dropout / Turnover - by Designation - Female 18+</c:v>
                </c:pt>
                <c:pt idx="3">
                  <c:v>B. Staff Dropout / Turnover - by Designation - Male 18+</c:v>
                </c:pt>
                <c:pt idx="4">
                  <c:v>C. Volunteer Dropout / Turnover - by Designation &amp; Rohingya/Host - Female 18+</c:v>
                </c:pt>
                <c:pt idx="5">
                  <c:v>C. Volunteer Dropout / Turnover - by Designation &amp; Rohingya/Host - Male 18+</c:v>
                </c:pt>
              </c:strCache>
            </c:strRef>
          </c:cat>
          <c:val>
            <c:numRef>
              <c:f>'5b. Dashboard'!$C$175:$C$180</c:f>
              <c:numCache>
                <c:formatCode>General</c:formatCode>
                <c:ptCount val="6"/>
              </c:numCache>
            </c:numRef>
          </c:val>
        </c:ser>
        <c:gapWidth val="150"/>
        <c:overlap val="0"/>
        <c:axId val="16434922"/>
        <c:axId val="81844062"/>
      </c:barChart>
      <c:catAx>
        <c:axId val="16434922"/>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Dropout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844062"/>
        <c:crosses val="autoZero"/>
        <c:auto val="1"/>
        <c:lblAlgn val="ctr"/>
        <c:lblOffset val="100"/>
        <c:noMultiLvlLbl val="0"/>
      </c:catAx>
      <c:valAx>
        <c:axId val="8184406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43492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152</xdr:row>
      <xdr:rowOff>100800</xdr:rowOff>
    </xdr:from>
    <xdr:to>
      <xdr:col>7</xdr:col>
      <xdr:colOff>262080</xdr:colOff>
      <xdr:row>167</xdr:row>
      <xdr:rowOff>123120</xdr:rowOff>
    </xdr:to>
    <xdr:graphicFrame>
      <xdr:nvGraphicFramePr>
        <xdr:cNvPr id="0" name="Chart 1"/>
        <xdr:cNvGraphicFramePr/>
      </xdr:nvGraphicFramePr>
      <xdr:xfrm>
        <a:off x="141120" y="3485196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172</xdr:row>
      <xdr:rowOff>186840</xdr:rowOff>
    </xdr:from>
    <xdr:to>
      <xdr:col>10</xdr:col>
      <xdr:colOff>261720</xdr:colOff>
      <xdr:row>189</xdr:row>
      <xdr:rowOff>102240</xdr:rowOff>
    </xdr:to>
    <xdr:graphicFrame>
      <xdr:nvGraphicFramePr>
        <xdr:cNvPr id="1" name="Chart 2"/>
        <xdr:cNvGraphicFramePr/>
      </xdr:nvGraphicFramePr>
      <xdr:xfrm>
        <a:off x="2889720" y="38747880"/>
        <a:ext cx="575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5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0"/>
    <col collapsed="false" customWidth="true" hidden="false" outlineLevel="0" max="5" min="4" style="0" width="3"/>
  </cols>
  <sheetData>
    <row r="2" customFormat="false" ht="15" hidden="false" customHeight="false" outlineLevel="0" collapsed="false">
      <c r="B2" s="1" t="s">
        <v>0</v>
      </c>
      <c r="C2" s="1"/>
      <c r="D2" s="1"/>
    </row>
    <row r="3" customFormat="false" ht="30" hidden="false" customHeight="true" outlineLevel="0" collapsed="false">
      <c r="B3" s="2" t="s">
        <v>1</v>
      </c>
      <c r="C3" s="2"/>
      <c r="D3" s="2"/>
    </row>
    <row r="4" customFormat="false" ht="15" hidden="false" customHeight="false" outlineLevel="0" collapsed="false">
      <c r="B4" s="3" t="s">
        <v>2</v>
      </c>
      <c r="C4" s="3"/>
      <c r="D4" s="3"/>
    </row>
    <row r="6" customFormat="false" ht="42" hidden="false" customHeight="true" outlineLevel="0" collapsed="false">
      <c r="B6" s="4" t="s">
        <v>3</v>
      </c>
      <c r="C6" s="5" t="s">
        <v>4</v>
      </c>
    </row>
    <row r="7" customFormat="false" ht="27.75" hidden="false" customHeight="true" outlineLevel="0" collapsed="false">
      <c r="B7" s="4" t="s">
        <v>5</v>
      </c>
      <c r="C7" s="5" t="s">
        <v>6</v>
      </c>
    </row>
    <row r="8" customFormat="false" ht="27.75" hidden="false" customHeight="true" outlineLevel="0" collapsed="false">
      <c r="B8" s="4" t="s">
        <v>7</v>
      </c>
      <c r="C8" s="5" t="s">
        <v>8</v>
      </c>
    </row>
    <row r="9" customFormat="false" ht="27.75" hidden="false" customHeight="true" outlineLevel="0" collapsed="false">
      <c r="B9" s="4" t="s">
        <v>9</v>
      </c>
      <c r="C9" s="5" t="s">
        <v>10</v>
      </c>
    </row>
    <row r="10" customFormat="false" ht="27.75" hidden="false" customHeight="true" outlineLevel="0" collapsed="false">
      <c r="B10" s="4" t="s">
        <v>11</v>
      </c>
      <c r="C10" s="5" t="s">
        <v>12</v>
      </c>
    </row>
    <row r="11" customFormat="false" ht="42" hidden="false" customHeight="true" outlineLevel="0" collapsed="false">
      <c r="B11" s="4" t="s">
        <v>13</v>
      </c>
      <c r="C11" s="5" t="s">
        <v>14</v>
      </c>
    </row>
    <row r="12" customFormat="false" ht="27.75" hidden="false" customHeight="true" outlineLevel="0" collapsed="false">
      <c r="B12" s="4" t="s">
        <v>15</v>
      </c>
      <c r="C12" s="5" t="s">
        <v>16</v>
      </c>
    </row>
    <row r="13" customFormat="false" ht="27.75" hidden="false" customHeight="true" outlineLevel="0" collapsed="false">
      <c r="B13" s="4" t="s">
        <v>17</v>
      </c>
      <c r="C13" s="5" t="s">
        <v>18</v>
      </c>
    </row>
    <row r="15" customFormat="false" ht="15" hidden="false" customHeight="false" outlineLevel="0" collapsed="false">
      <c r="B15" s="6" t="s">
        <v>19</v>
      </c>
    </row>
    <row r="16" customFormat="false" ht="15" hidden="false" customHeight="false" outlineLevel="0" collapsed="false">
      <c r="B16" s="7" t="s">
        <v>20</v>
      </c>
    </row>
    <row r="17" customFormat="false" ht="15" hidden="false" customHeight="false" outlineLevel="0" collapsed="false">
      <c r="B17" s="7" t="s">
        <v>21</v>
      </c>
    </row>
    <row r="18" customFormat="false" ht="15" hidden="false" customHeight="false" outlineLevel="0" collapsed="false">
      <c r="B18" s="7" t="s">
        <v>22</v>
      </c>
    </row>
    <row r="19" customFormat="false" ht="15" hidden="false" customHeight="false" outlineLevel="0" collapsed="false">
      <c r="B19" s="7" t="s">
        <v>23</v>
      </c>
    </row>
    <row r="20" customFormat="false" ht="15" hidden="false" customHeight="false" outlineLevel="0" collapsed="false">
      <c r="B20" s="7" t="s">
        <v>24</v>
      </c>
    </row>
    <row r="21" customFormat="false" ht="15" hidden="false" customHeight="false" outlineLevel="0" collapsed="false">
      <c r="B21" s="7" t="s">
        <v>25</v>
      </c>
    </row>
    <row r="22" customFormat="false" ht="15" hidden="false" customHeight="false" outlineLevel="0" collapsed="false">
      <c r="B22" s="7" t="s">
        <v>26</v>
      </c>
    </row>
    <row r="23" customFormat="false" ht="15" hidden="false" customHeight="false" outlineLevel="0" collapsed="false">
      <c r="B23" s="7" t="s">
        <v>27</v>
      </c>
    </row>
    <row r="24" customFormat="false" ht="15" hidden="false" customHeight="false" outlineLevel="0" collapsed="false">
      <c r="B24" s="7" t="s">
        <v>28</v>
      </c>
    </row>
    <row r="25" customFormat="false" ht="15" hidden="false" customHeight="false" outlineLevel="0" collapsed="false">
      <c r="B25" s="7" t="s">
        <v>29</v>
      </c>
    </row>
    <row r="26" customFormat="false" ht="15" hidden="false" customHeight="false" outlineLevel="0" collapsed="false">
      <c r="B26" s="7" t="s">
        <v>30</v>
      </c>
    </row>
    <row r="27" customFormat="false" ht="15" hidden="false" customHeight="false" outlineLevel="0" collapsed="false">
      <c r="B27" s="7" t="s">
        <v>31</v>
      </c>
    </row>
    <row r="28" customFormat="false" ht="15" hidden="false" customHeight="false" outlineLevel="0" collapsed="false">
      <c r="B28" s="7" t="s">
        <v>32</v>
      </c>
    </row>
    <row r="30" customFormat="false" ht="15" hidden="false" customHeight="true" outlineLevel="0" collapsed="false">
      <c r="B30" s="8" t="s">
        <v>33</v>
      </c>
      <c r="C30" s="8"/>
      <c r="D30" s="8"/>
    </row>
    <row r="31" customFormat="false" ht="15" hidden="false" customHeight="false" outlineLevel="0" collapsed="false">
      <c r="B31" s="8"/>
      <c r="C31" s="8"/>
      <c r="D31" s="8"/>
    </row>
    <row r="32" customFormat="false" ht="15" hidden="false" customHeight="false" outlineLevel="0" collapsed="false">
      <c r="B32" s="8"/>
      <c r="C32" s="8"/>
      <c r="D32" s="8"/>
    </row>
    <row r="33" customFormat="false" ht="15" hidden="false" customHeight="false" outlineLevel="0" collapsed="false">
      <c r="B33" s="8"/>
      <c r="C33" s="8"/>
      <c r="D33" s="8"/>
    </row>
    <row r="35" customFormat="false" ht="21.75" hidden="false" customHeight="true" outlineLevel="0" collapsed="false">
      <c r="B35" s="9" t="s">
        <v>34</v>
      </c>
      <c r="C35" s="9"/>
      <c r="D35" s="9"/>
      <c r="E35" s="9"/>
      <c r="F35" s="9"/>
      <c r="G35" s="9"/>
      <c r="H35" s="9"/>
    </row>
    <row r="36" customFormat="false" ht="15.75" hidden="false" customHeight="true" outlineLevel="0" collapsed="false">
      <c r="B36" s="10" t="s">
        <v>35</v>
      </c>
      <c r="C36" s="10"/>
      <c r="D36" s="10"/>
      <c r="E36" s="10"/>
      <c r="F36" s="10"/>
      <c r="G36" s="10"/>
      <c r="H36" s="10"/>
    </row>
    <row r="37" customFormat="false" ht="42" hidden="false" customHeight="true" outlineLevel="0" collapsed="false">
      <c r="B37" s="11" t="s">
        <v>36</v>
      </c>
      <c r="C37" s="11"/>
      <c r="D37" s="11"/>
      <c r="E37" s="11"/>
      <c r="F37" s="11"/>
      <c r="G37" s="11"/>
      <c r="H37" s="11"/>
    </row>
    <row r="39" customFormat="false" ht="15.75" hidden="false" customHeight="true" outlineLevel="0" collapsed="false">
      <c r="B39" s="10" t="s">
        <v>37</v>
      </c>
      <c r="C39" s="10"/>
      <c r="D39" s="10"/>
      <c r="E39" s="10"/>
      <c r="F39" s="10"/>
      <c r="G39" s="10"/>
      <c r="H39" s="10"/>
    </row>
    <row r="40" customFormat="false" ht="42" hidden="false" customHeight="true" outlineLevel="0" collapsed="false">
      <c r="B40" s="11" t="s">
        <v>38</v>
      </c>
      <c r="C40" s="11"/>
      <c r="D40" s="11"/>
      <c r="E40" s="11"/>
      <c r="F40" s="11"/>
      <c r="G40" s="11"/>
      <c r="H40" s="11"/>
    </row>
    <row r="42" customFormat="false" ht="15.75" hidden="false" customHeight="true" outlineLevel="0" collapsed="false">
      <c r="B42" s="10" t="s">
        <v>39</v>
      </c>
      <c r="C42" s="10"/>
      <c r="D42" s="10"/>
      <c r="E42" s="10"/>
      <c r="F42" s="10"/>
      <c r="G42" s="10"/>
      <c r="H42" s="10"/>
    </row>
    <row r="43" customFormat="false" ht="42" hidden="false" customHeight="true" outlineLevel="0" collapsed="false">
      <c r="B43" s="11" t="s">
        <v>40</v>
      </c>
      <c r="C43" s="11"/>
      <c r="D43" s="11"/>
      <c r="E43" s="11"/>
      <c r="F43" s="11"/>
      <c r="G43" s="11"/>
      <c r="H43" s="11"/>
    </row>
    <row r="45" customFormat="false" ht="15.75" hidden="false" customHeight="true" outlineLevel="0" collapsed="false">
      <c r="B45" s="10" t="s">
        <v>41</v>
      </c>
      <c r="C45" s="10"/>
      <c r="D45" s="10"/>
      <c r="E45" s="10"/>
      <c r="F45" s="10"/>
      <c r="G45" s="10"/>
      <c r="H45" s="10"/>
    </row>
    <row r="46" customFormat="false" ht="42" hidden="false" customHeight="true" outlineLevel="0" collapsed="false">
      <c r="B46" s="11" t="s">
        <v>42</v>
      </c>
      <c r="C46" s="11"/>
      <c r="D46" s="11"/>
      <c r="E46" s="11"/>
      <c r="F46" s="11"/>
      <c r="G46" s="11"/>
      <c r="H46" s="11"/>
    </row>
    <row r="48" customFormat="false" ht="15.75" hidden="false" customHeight="true" outlineLevel="0" collapsed="false">
      <c r="B48" s="10" t="s">
        <v>43</v>
      </c>
      <c r="C48" s="10"/>
      <c r="D48" s="10"/>
      <c r="E48" s="10"/>
      <c r="F48" s="10"/>
      <c r="G48" s="10"/>
      <c r="H48" s="10"/>
    </row>
    <row r="49" customFormat="false" ht="42" hidden="false" customHeight="true" outlineLevel="0" collapsed="false">
      <c r="B49" s="11" t="s">
        <v>44</v>
      </c>
      <c r="C49" s="11"/>
      <c r="D49" s="11"/>
      <c r="E49" s="11"/>
      <c r="F49" s="11"/>
      <c r="G49" s="11"/>
      <c r="H49" s="11"/>
    </row>
    <row r="51" customFormat="false" ht="15.75" hidden="false" customHeight="true" outlineLevel="0" collapsed="false">
      <c r="B51" s="10" t="s">
        <v>45</v>
      </c>
      <c r="C51" s="10"/>
      <c r="D51" s="10"/>
      <c r="E51" s="10"/>
      <c r="F51" s="10"/>
      <c r="G51" s="10"/>
      <c r="H51" s="10"/>
    </row>
    <row r="52" customFormat="false" ht="42" hidden="false" customHeight="true" outlineLevel="0" collapsed="false">
      <c r="B52" s="11" t="s">
        <v>46</v>
      </c>
      <c r="C52" s="11"/>
      <c r="D52" s="11"/>
      <c r="E52" s="11"/>
      <c r="F52" s="11"/>
      <c r="G52" s="11"/>
      <c r="H52" s="11"/>
    </row>
    <row r="54" customFormat="false" ht="15.75" hidden="false" customHeight="true" outlineLevel="0" collapsed="false">
      <c r="B54" s="10" t="s">
        <v>47</v>
      </c>
      <c r="C54" s="10"/>
      <c r="D54" s="10"/>
      <c r="E54" s="10"/>
      <c r="F54" s="10"/>
      <c r="G54" s="10"/>
      <c r="H54" s="10"/>
    </row>
    <row r="55" customFormat="false" ht="42" hidden="false" customHeight="true" outlineLevel="0" collapsed="false">
      <c r="B55" s="11" t="s">
        <v>48</v>
      </c>
      <c r="C55" s="11"/>
      <c r="D55" s="11"/>
      <c r="E55" s="11"/>
      <c r="F55" s="11"/>
      <c r="G55" s="11"/>
      <c r="H55" s="11"/>
    </row>
    <row r="57" customFormat="false" ht="15.75" hidden="false" customHeight="true" outlineLevel="0" collapsed="false">
      <c r="B57" s="10" t="s">
        <v>49</v>
      </c>
      <c r="C57" s="10"/>
      <c r="D57" s="10"/>
      <c r="E57" s="10"/>
      <c r="F57" s="10"/>
      <c r="G57" s="10"/>
      <c r="H57" s="10"/>
    </row>
    <row r="58" customFormat="false" ht="42" hidden="false" customHeight="true" outlineLevel="0" collapsed="false">
      <c r="B58" s="11" t="s">
        <v>50</v>
      </c>
      <c r="C58" s="11"/>
      <c r="D58" s="11"/>
      <c r="E58" s="11"/>
      <c r="F58" s="11"/>
      <c r="G58" s="11"/>
      <c r="H58" s="11"/>
    </row>
  </sheetData>
  <mergeCells count="21">
    <mergeCell ref="B2:D2"/>
    <mergeCell ref="B3:D3"/>
    <mergeCell ref="B4:D4"/>
    <mergeCell ref="B30:D33"/>
    <mergeCell ref="B35:H35"/>
    <mergeCell ref="B36:H36"/>
    <mergeCell ref="B37:H37"/>
    <mergeCell ref="B39:H39"/>
    <mergeCell ref="B40:H40"/>
    <mergeCell ref="B42:H42"/>
    <mergeCell ref="B43:H43"/>
    <mergeCell ref="B45:H45"/>
    <mergeCell ref="B46:H46"/>
    <mergeCell ref="B48:H48"/>
    <mergeCell ref="B49:H49"/>
    <mergeCell ref="B51:H51"/>
    <mergeCell ref="B52:H52"/>
    <mergeCell ref="B54:H54"/>
    <mergeCell ref="B55:H55"/>
    <mergeCell ref="B57:H57"/>
    <mergeCell ref="B58:H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20"/>
    <col collapsed="false" customWidth="true" hidden="false" outlineLevel="0" max="5" min="4" style="0" width="22"/>
    <col collapsed="false" customWidth="true" hidden="false" outlineLevel="0" max="6" min="6" style="0" width="26"/>
    <col collapsed="false" customWidth="true" hidden="false" outlineLevel="0" max="7" min="7" style="0" width="24"/>
  </cols>
  <sheetData>
    <row r="2" customFormat="false" ht="30" hidden="false" customHeight="true" outlineLevel="0" collapsed="false">
      <c r="B2" s="12" t="s">
        <v>51</v>
      </c>
      <c r="C2" s="12"/>
      <c r="D2" s="12"/>
      <c r="E2" s="12"/>
      <c r="F2" s="12"/>
    </row>
    <row r="3" customFormat="false" ht="30" hidden="false" customHeight="true" outlineLevel="0" collapsed="false">
      <c r="B3" s="13" t="s">
        <v>52</v>
      </c>
      <c r="C3" s="13"/>
      <c r="D3" s="13"/>
      <c r="E3" s="13"/>
      <c r="F3" s="13"/>
    </row>
    <row r="5" customFormat="false" ht="21.75" hidden="false" customHeight="true" outlineLevel="0" collapsed="false">
      <c r="B5" s="14" t="s">
        <v>53</v>
      </c>
      <c r="C5" s="14"/>
      <c r="D5" s="14"/>
      <c r="E5" s="14"/>
    </row>
    <row r="6" customFormat="false" ht="15" hidden="false" customHeight="false" outlineLevel="0" collapsed="false">
      <c r="B6" s="15" t="s">
        <v>54</v>
      </c>
      <c r="C6" s="15" t="s">
        <v>55</v>
      </c>
    </row>
    <row r="7" customFormat="false" ht="30" hidden="false" customHeight="true" outlineLevel="0" collapsed="false">
      <c r="B7" s="16" t="s">
        <v>56</v>
      </c>
      <c r="C7" s="16" t="s">
        <v>57</v>
      </c>
    </row>
    <row r="8" customFormat="false" ht="30" hidden="false" customHeight="true" outlineLevel="0" collapsed="false">
      <c r="B8" s="17" t="s">
        <v>58</v>
      </c>
      <c r="C8" s="17" t="s">
        <v>59</v>
      </c>
    </row>
    <row r="9" customFormat="false" ht="30" hidden="false" customHeight="true" outlineLevel="0" collapsed="false">
      <c r="B9" s="16" t="s">
        <v>60</v>
      </c>
      <c r="C9" s="16" t="s">
        <v>61</v>
      </c>
    </row>
    <row r="10" customFormat="false" ht="30" hidden="false" customHeight="true" outlineLevel="0" collapsed="false">
      <c r="B10" s="17" t="s">
        <v>62</v>
      </c>
      <c r="C10" s="17" t="s">
        <v>63</v>
      </c>
    </row>
    <row r="11" customFormat="false" ht="30" hidden="false" customHeight="true" outlineLevel="0" collapsed="false">
      <c r="B11" s="16" t="s">
        <v>64</v>
      </c>
      <c r="C11" s="16" t="s">
        <v>65</v>
      </c>
    </row>
    <row r="13" customFormat="false" ht="21.75" hidden="false" customHeight="true" outlineLevel="0" collapsed="false">
      <c r="B13" s="14" t="s">
        <v>66</v>
      </c>
      <c r="C13" s="14"/>
      <c r="D13" s="14"/>
      <c r="E13" s="14"/>
    </row>
    <row r="14" customFormat="false" ht="15" hidden="false" customHeight="false" outlineLevel="0" collapsed="false">
      <c r="B14" s="15" t="s">
        <v>67</v>
      </c>
      <c r="C14" s="15" t="s">
        <v>55</v>
      </c>
    </row>
    <row r="15" customFormat="false" ht="30" hidden="false" customHeight="true" outlineLevel="0" collapsed="false">
      <c r="B15" s="16" t="s">
        <v>68</v>
      </c>
      <c r="C15" s="16" t="s">
        <v>69</v>
      </c>
    </row>
    <row r="16" customFormat="false" ht="30" hidden="false" customHeight="true" outlineLevel="0" collapsed="false">
      <c r="B16" s="17" t="s">
        <v>70</v>
      </c>
      <c r="C16" s="17" t="s">
        <v>71</v>
      </c>
    </row>
    <row r="17" customFormat="false" ht="30" hidden="false" customHeight="true" outlineLevel="0" collapsed="false">
      <c r="B17" s="16" t="s">
        <v>72</v>
      </c>
      <c r="C17" s="16" t="s">
        <v>73</v>
      </c>
    </row>
    <row r="18" customFormat="false" ht="30" hidden="false" customHeight="true" outlineLevel="0" collapsed="false">
      <c r="B18" s="17" t="s">
        <v>74</v>
      </c>
      <c r="C18" s="17" t="s">
        <v>75</v>
      </c>
    </row>
    <row r="19" customFormat="false" ht="30" hidden="false" customHeight="true" outlineLevel="0" collapsed="false">
      <c r="B19" s="16" t="s">
        <v>76</v>
      </c>
      <c r="C19" s="16" t="s">
        <v>77</v>
      </c>
    </row>
    <row r="21" customFormat="false" ht="21.75" hidden="false" customHeight="true" outlineLevel="0" collapsed="false">
      <c r="B21" s="14" t="s">
        <v>78</v>
      </c>
      <c r="C21" s="14"/>
      <c r="D21" s="14"/>
      <c r="E21" s="14"/>
    </row>
    <row r="22" customFormat="false" ht="15" hidden="false" customHeight="false" outlineLevel="0" collapsed="false">
      <c r="B22" s="15" t="s">
        <v>79</v>
      </c>
      <c r="C22" s="15" t="s">
        <v>80</v>
      </c>
      <c r="D22" s="15" t="s">
        <v>55</v>
      </c>
    </row>
    <row r="23" customFormat="false" ht="30" hidden="false" customHeight="true" outlineLevel="0" collapsed="false">
      <c r="B23" s="16" t="s">
        <v>81</v>
      </c>
      <c r="C23" s="16" t="s">
        <v>82</v>
      </c>
      <c r="D23" s="16" t="s">
        <v>83</v>
      </c>
    </row>
    <row r="24" customFormat="false" ht="30" hidden="false" customHeight="true" outlineLevel="0" collapsed="false">
      <c r="B24" s="17" t="s">
        <v>84</v>
      </c>
      <c r="C24" s="17" t="s">
        <v>85</v>
      </c>
      <c r="D24" s="17" t="s">
        <v>86</v>
      </c>
    </row>
    <row r="25" customFormat="false" ht="30" hidden="false" customHeight="true" outlineLevel="0" collapsed="false">
      <c r="B25" s="16" t="s">
        <v>87</v>
      </c>
      <c r="C25" s="16" t="s">
        <v>88</v>
      </c>
      <c r="D25" s="16" t="s">
        <v>89</v>
      </c>
    </row>
    <row r="27" customFormat="false" ht="21.75" hidden="false" customHeight="true" outlineLevel="0" collapsed="false">
      <c r="B27" s="9" t="s">
        <v>90</v>
      </c>
      <c r="C27" s="9"/>
      <c r="D27" s="9"/>
      <c r="E27" s="9"/>
      <c r="F27" s="9"/>
      <c r="G27" s="9"/>
    </row>
    <row r="28" customFormat="false" ht="15" hidden="false" customHeight="true" outlineLevel="0" collapsed="false">
      <c r="B28" s="13" t="s">
        <v>91</v>
      </c>
      <c r="C28" s="13"/>
      <c r="D28" s="13"/>
      <c r="E28" s="13"/>
      <c r="F28" s="13"/>
      <c r="G28" s="13"/>
    </row>
    <row r="30" customFormat="false" ht="15" hidden="false" customHeight="false" outlineLevel="0" collapsed="false">
      <c r="B30" s="15" t="s">
        <v>92</v>
      </c>
      <c r="C30" s="15" t="s">
        <v>81</v>
      </c>
      <c r="D30" s="15" t="s">
        <v>93</v>
      </c>
      <c r="E30" s="15" t="s">
        <v>94</v>
      </c>
      <c r="F30" s="15" t="s">
        <v>95</v>
      </c>
      <c r="G30" s="15" t="s">
        <v>55</v>
      </c>
    </row>
    <row r="31" customFormat="false" ht="27.75" hidden="false" customHeight="true" outlineLevel="0" collapsed="false">
      <c r="B31" s="16" t="s">
        <v>96</v>
      </c>
      <c r="C31" s="16" t="s">
        <v>97</v>
      </c>
      <c r="D31" s="16" t="s">
        <v>98</v>
      </c>
      <c r="E31" s="16" t="s">
        <v>99</v>
      </c>
      <c r="F31" s="16" t="s">
        <v>100</v>
      </c>
      <c r="G31" s="16" t="s">
        <v>101</v>
      </c>
    </row>
    <row r="32" customFormat="false" ht="27.75" hidden="false" customHeight="true" outlineLevel="0" collapsed="false">
      <c r="B32" s="17" t="s">
        <v>102</v>
      </c>
      <c r="C32" s="17" t="s">
        <v>97</v>
      </c>
      <c r="D32" s="17" t="s">
        <v>103</v>
      </c>
      <c r="E32" s="17" t="s">
        <v>99</v>
      </c>
      <c r="F32" s="17" t="s">
        <v>104</v>
      </c>
      <c r="G32" s="17" t="s">
        <v>105</v>
      </c>
    </row>
    <row r="33" customFormat="false" ht="27.75" hidden="false" customHeight="true" outlineLevel="0" collapsed="false">
      <c r="B33" s="16" t="s">
        <v>106</v>
      </c>
      <c r="C33" s="16" t="s">
        <v>98</v>
      </c>
      <c r="D33" s="16" t="s">
        <v>97</v>
      </c>
      <c r="E33" s="16" t="s">
        <v>103</v>
      </c>
      <c r="F33" s="16" t="s">
        <v>107</v>
      </c>
      <c r="G33" s="16" t="s">
        <v>108</v>
      </c>
    </row>
    <row r="34" customFormat="false" ht="27.75" hidden="false" customHeight="true" outlineLevel="0" collapsed="false">
      <c r="B34" s="17" t="s">
        <v>109</v>
      </c>
      <c r="C34" s="17" t="s">
        <v>110</v>
      </c>
      <c r="D34" s="17" t="s">
        <v>97</v>
      </c>
      <c r="E34" s="17" t="s">
        <v>103</v>
      </c>
      <c r="F34" s="17" t="s">
        <v>107</v>
      </c>
      <c r="G34" s="17" t="s">
        <v>105</v>
      </c>
    </row>
    <row r="35" customFormat="false" ht="27.75" hidden="false" customHeight="true" outlineLevel="0" collapsed="false">
      <c r="B35" s="16" t="s">
        <v>111</v>
      </c>
      <c r="C35" s="16" t="s">
        <v>99</v>
      </c>
      <c r="D35" s="16" t="s">
        <v>110</v>
      </c>
      <c r="E35" s="16" t="s">
        <v>97</v>
      </c>
      <c r="F35" s="16" t="s">
        <v>112</v>
      </c>
      <c r="G35" s="16" t="s">
        <v>113</v>
      </c>
    </row>
    <row r="36" customFormat="false" ht="27.75" hidden="false" customHeight="true" outlineLevel="0" collapsed="false">
      <c r="B36" s="17" t="s">
        <v>114</v>
      </c>
      <c r="C36" s="17" t="s">
        <v>97</v>
      </c>
      <c r="D36" s="17" t="s">
        <v>98</v>
      </c>
      <c r="E36" s="17" t="s">
        <v>99</v>
      </c>
      <c r="F36" s="17" t="s">
        <v>115</v>
      </c>
      <c r="G36" s="17" t="s">
        <v>116</v>
      </c>
    </row>
    <row r="37" customFormat="false" ht="27.75" hidden="false" customHeight="true" outlineLevel="0" collapsed="false">
      <c r="B37" s="16" t="s">
        <v>117</v>
      </c>
      <c r="C37" s="16" t="s">
        <v>118</v>
      </c>
      <c r="D37" s="16" t="s">
        <v>97</v>
      </c>
      <c r="E37" s="16" t="s">
        <v>103</v>
      </c>
      <c r="F37" s="16" t="s">
        <v>119</v>
      </c>
      <c r="G37" s="16" t="s">
        <v>120</v>
      </c>
    </row>
    <row r="38" customFormat="false" ht="27.75" hidden="false" customHeight="true" outlineLevel="0" collapsed="false">
      <c r="B38" s="17" t="s">
        <v>121</v>
      </c>
      <c r="C38" s="17" t="s">
        <v>97</v>
      </c>
      <c r="D38" s="17" t="s">
        <v>122</v>
      </c>
      <c r="E38" s="17" t="s">
        <v>99</v>
      </c>
      <c r="F38" s="17" t="s">
        <v>123</v>
      </c>
      <c r="G38" s="17" t="s">
        <v>124</v>
      </c>
    </row>
    <row r="39" customFormat="false" ht="27.75" hidden="false" customHeight="true" outlineLevel="0" collapsed="false">
      <c r="B39" s="16" t="s">
        <v>125</v>
      </c>
      <c r="C39" s="16" t="s">
        <v>126</v>
      </c>
      <c r="D39" s="16" t="s">
        <v>127</v>
      </c>
      <c r="E39" s="16" t="s">
        <v>128</v>
      </c>
      <c r="F39" s="16" t="s">
        <v>129</v>
      </c>
      <c r="G39" s="16" t="s">
        <v>130</v>
      </c>
    </row>
    <row r="40" customFormat="false" ht="27.75" hidden="false" customHeight="true" outlineLevel="0" collapsed="false">
      <c r="B40" s="17" t="s">
        <v>131</v>
      </c>
      <c r="C40" s="17" t="s">
        <v>97</v>
      </c>
      <c r="D40" s="17" t="s">
        <v>98</v>
      </c>
      <c r="E40" s="17" t="s">
        <v>99</v>
      </c>
      <c r="F40" s="17" t="s">
        <v>132</v>
      </c>
      <c r="G40" s="17" t="s">
        <v>133</v>
      </c>
    </row>
    <row r="41" customFormat="false" ht="27.75" hidden="false" customHeight="true" outlineLevel="0" collapsed="false">
      <c r="B41" s="16" t="s">
        <v>134</v>
      </c>
      <c r="C41" s="16" t="s">
        <v>110</v>
      </c>
      <c r="D41" s="16" t="s">
        <v>97</v>
      </c>
      <c r="E41" s="16" t="s">
        <v>103</v>
      </c>
      <c r="F41" s="16" t="s">
        <v>135</v>
      </c>
      <c r="G41" s="16" t="s">
        <v>136</v>
      </c>
    </row>
    <row r="42" customFormat="false" ht="27.75" hidden="false" customHeight="true" outlineLevel="0" collapsed="false">
      <c r="B42" s="17" t="s">
        <v>137</v>
      </c>
      <c r="C42" s="17" t="s">
        <v>110</v>
      </c>
      <c r="D42" s="17" t="s">
        <v>98</v>
      </c>
      <c r="E42" s="17" t="s">
        <v>97</v>
      </c>
      <c r="F42" s="17" t="s">
        <v>138</v>
      </c>
      <c r="G42" s="17" t="s">
        <v>136</v>
      </c>
    </row>
    <row r="43" customFormat="false" ht="27.75" hidden="false" customHeight="true" outlineLevel="0" collapsed="false">
      <c r="B43" s="16" t="s">
        <v>139</v>
      </c>
      <c r="C43" s="16" t="s">
        <v>110</v>
      </c>
      <c r="D43" s="16" t="s">
        <v>98</v>
      </c>
      <c r="E43" s="16" t="s">
        <v>97</v>
      </c>
      <c r="F43" s="16" t="s">
        <v>140</v>
      </c>
      <c r="G43" s="16" t="s">
        <v>136</v>
      </c>
    </row>
    <row r="44" customFormat="false" ht="27.75" hidden="false" customHeight="true" outlineLevel="0" collapsed="false">
      <c r="B44" s="17" t="s">
        <v>141</v>
      </c>
      <c r="C44" s="17" t="s">
        <v>110</v>
      </c>
      <c r="D44" s="17" t="s">
        <v>97</v>
      </c>
      <c r="E44" s="17" t="s">
        <v>103</v>
      </c>
      <c r="F44" s="17" t="s">
        <v>142</v>
      </c>
      <c r="G44" s="17" t="s">
        <v>143</v>
      </c>
    </row>
    <row r="45" customFormat="false" ht="27.75" hidden="false" customHeight="true" outlineLevel="0" collapsed="false">
      <c r="B45" s="16" t="s">
        <v>144</v>
      </c>
      <c r="C45" s="16" t="s">
        <v>145</v>
      </c>
      <c r="D45" s="16" t="s">
        <v>146</v>
      </c>
      <c r="E45" s="16" t="s">
        <v>99</v>
      </c>
      <c r="F45" s="16" t="s">
        <v>119</v>
      </c>
      <c r="G45" s="16" t="s">
        <v>120</v>
      </c>
    </row>
    <row r="47" customFormat="false" ht="21.75" hidden="false" customHeight="true" outlineLevel="0" collapsed="false">
      <c r="B47" s="9" t="s">
        <v>147</v>
      </c>
      <c r="C47" s="9"/>
      <c r="D47" s="9"/>
      <c r="E47" s="9"/>
      <c r="F47" s="9"/>
      <c r="G47" s="9"/>
    </row>
    <row r="49" customFormat="false" ht="15" hidden="false" customHeight="false" outlineLevel="0" collapsed="false">
      <c r="B49" s="15" t="s">
        <v>148</v>
      </c>
      <c r="C49" s="15" t="s">
        <v>149</v>
      </c>
      <c r="D49" s="15" t="s">
        <v>150</v>
      </c>
      <c r="E49" s="15" t="s">
        <v>151</v>
      </c>
      <c r="F49" s="15" t="s">
        <v>95</v>
      </c>
      <c r="G49" s="15" t="s">
        <v>55</v>
      </c>
    </row>
    <row r="50" customFormat="false" ht="30" hidden="false" customHeight="true" outlineLevel="0" collapsed="false">
      <c r="B50" s="16" t="s">
        <v>152</v>
      </c>
      <c r="C50" s="16" t="s">
        <v>153</v>
      </c>
      <c r="D50" s="16" t="s">
        <v>154</v>
      </c>
      <c r="E50" s="16" t="s">
        <v>155</v>
      </c>
      <c r="F50" s="16" t="s">
        <v>156</v>
      </c>
      <c r="G50" s="16" t="s">
        <v>105</v>
      </c>
    </row>
    <row r="51" customFormat="false" ht="30" hidden="false" customHeight="true" outlineLevel="0" collapsed="false">
      <c r="B51" s="17" t="s">
        <v>157</v>
      </c>
      <c r="C51" s="17" t="s">
        <v>158</v>
      </c>
      <c r="D51" s="17" t="s">
        <v>159</v>
      </c>
      <c r="E51" s="17" t="s">
        <v>160</v>
      </c>
      <c r="F51" s="17" t="s">
        <v>161</v>
      </c>
      <c r="G51" s="17" t="s">
        <v>130</v>
      </c>
    </row>
    <row r="52" customFormat="false" ht="30" hidden="false" customHeight="true" outlineLevel="0" collapsed="false">
      <c r="B52" s="16" t="s">
        <v>162</v>
      </c>
      <c r="C52" s="16" t="s">
        <v>163</v>
      </c>
      <c r="D52" s="16" t="s">
        <v>164</v>
      </c>
      <c r="E52" s="16" t="s">
        <v>165</v>
      </c>
      <c r="F52" s="16" t="s">
        <v>132</v>
      </c>
      <c r="G52" s="16" t="s">
        <v>166</v>
      </c>
    </row>
    <row r="53" customFormat="false" ht="30" hidden="false" customHeight="true" outlineLevel="0" collapsed="false">
      <c r="B53" s="17" t="s">
        <v>167</v>
      </c>
      <c r="C53" s="17" t="s">
        <v>168</v>
      </c>
      <c r="D53" s="17" t="s">
        <v>169</v>
      </c>
      <c r="E53" s="17" t="s">
        <v>170</v>
      </c>
      <c r="F53" s="17" t="s">
        <v>123</v>
      </c>
      <c r="G53" s="17" t="s">
        <v>171</v>
      </c>
    </row>
    <row r="54" customFormat="false" ht="30" hidden="false" customHeight="true" outlineLevel="0" collapsed="false">
      <c r="B54" s="16" t="s">
        <v>172</v>
      </c>
      <c r="C54" s="16" t="s">
        <v>173</v>
      </c>
      <c r="D54" s="16" t="s">
        <v>174</v>
      </c>
      <c r="E54" s="16" t="s">
        <v>175</v>
      </c>
      <c r="F54" s="16" t="s">
        <v>176</v>
      </c>
      <c r="G54" s="16" t="s">
        <v>177</v>
      </c>
    </row>
    <row r="55" customFormat="false" ht="30" hidden="false" customHeight="true" outlineLevel="0" collapsed="false">
      <c r="B55" s="17" t="s">
        <v>178</v>
      </c>
      <c r="C55" s="17" t="s">
        <v>179</v>
      </c>
      <c r="D55" s="17" t="s">
        <v>180</v>
      </c>
      <c r="E55" s="17" t="s">
        <v>181</v>
      </c>
      <c r="F55" s="17" t="s">
        <v>182</v>
      </c>
      <c r="G55" s="17" t="s">
        <v>183</v>
      </c>
    </row>
    <row r="56" customFormat="false" ht="30" hidden="false" customHeight="true" outlineLevel="0" collapsed="false">
      <c r="B56" s="16" t="s">
        <v>184</v>
      </c>
      <c r="C56" s="16" t="s">
        <v>185</v>
      </c>
      <c r="D56" s="16" t="s">
        <v>186</v>
      </c>
      <c r="E56" s="16" t="s">
        <v>187</v>
      </c>
      <c r="F56" s="16" t="s">
        <v>188</v>
      </c>
      <c r="G56" s="16" t="s">
        <v>189</v>
      </c>
    </row>
    <row r="57" customFormat="false" ht="30" hidden="false" customHeight="true" outlineLevel="0" collapsed="false">
      <c r="B57" s="17" t="s">
        <v>190</v>
      </c>
      <c r="C57" s="17" t="s">
        <v>191</v>
      </c>
      <c r="D57" s="17" t="s">
        <v>180</v>
      </c>
      <c r="E57" s="17" t="s">
        <v>192</v>
      </c>
      <c r="F57" s="17" t="s">
        <v>193</v>
      </c>
      <c r="G57" s="17" t="s">
        <v>136</v>
      </c>
    </row>
    <row r="58" customFormat="false" ht="30" hidden="false" customHeight="true" outlineLevel="0" collapsed="false">
      <c r="B58" s="16" t="s">
        <v>194</v>
      </c>
      <c r="C58" s="16" t="s">
        <v>195</v>
      </c>
      <c r="D58" s="16" t="s">
        <v>196</v>
      </c>
      <c r="E58" s="16" t="s">
        <v>197</v>
      </c>
      <c r="F58" s="16" t="s">
        <v>112</v>
      </c>
      <c r="G58" s="16" t="s">
        <v>198</v>
      </c>
    </row>
    <row r="59" customFormat="false" ht="30" hidden="false" customHeight="true" outlineLevel="0" collapsed="false">
      <c r="B59" s="17" t="s">
        <v>199</v>
      </c>
      <c r="C59" s="17" t="s">
        <v>200</v>
      </c>
      <c r="D59" s="17" t="s">
        <v>180</v>
      </c>
      <c r="E59" s="17" t="s">
        <v>201</v>
      </c>
      <c r="F59" s="17" t="s">
        <v>115</v>
      </c>
      <c r="G59" s="17" t="s">
        <v>116</v>
      </c>
    </row>
    <row r="61" customFormat="false" ht="21.75" hidden="false" customHeight="true" outlineLevel="0" collapsed="false">
      <c r="B61" s="9" t="s">
        <v>202</v>
      </c>
      <c r="C61" s="9"/>
      <c r="D61" s="9"/>
      <c r="E61" s="9"/>
      <c r="F61" s="9"/>
      <c r="G61" s="9"/>
    </row>
    <row r="63" customFormat="false" ht="15" hidden="false" customHeight="false" outlineLevel="0" collapsed="false">
      <c r="B63" s="15" t="s">
        <v>203</v>
      </c>
      <c r="C63" s="15" t="s">
        <v>204</v>
      </c>
      <c r="D63" s="15" t="s">
        <v>205</v>
      </c>
      <c r="E63" s="15" t="s">
        <v>206</v>
      </c>
      <c r="F63" s="15" t="s">
        <v>55</v>
      </c>
    </row>
    <row r="64" customFormat="false" ht="25.5" hidden="false" customHeight="true" outlineLevel="0" collapsed="false">
      <c r="B64" s="16" t="s">
        <v>207</v>
      </c>
      <c r="C64" s="16" t="s">
        <v>104</v>
      </c>
      <c r="D64" s="16" t="s">
        <v>208</v>
      </c>
      <c r="E64" s="16" t="s">
        <v>209</v>
      </c>
      <c r="F64" s="16" t="s">
        <v>210</v>
      </c>
    </row>
    <row r="65" customFormat="false" ht="25.5" hidden="false" customHeight="true" outlineLevel="0" collapsed="false">
      <c r="B65" s="17" t="s">
        <v>211</v>
      </c>
      <c r="C65" s="17" t="s">
        <v>107</v>
      </c>
      <c r="D65" s="17" t="s">
        <v>212</v>
      </c>
      <c r="E65" s="17" t="s">
        <v>93</v>
      </c>
      <c r="F65" s="17" t="s">
        <v>105</v>
      </c>
    </row>
    <row r="66" customFormat="false" ht="25.5" hidden="false" customHeight="true" outlineLevel="0" collapsed="false">
      <c r="B66" s="16" t="s">
        <v>213</v>
      </c>
      <c r="C66" s="16" t="s">
        <v>112</v>
      </c>
      <c r="D66" s="16" t="s">
        <v>214</v>
      </c>
      <c r="E66" s="16" t="s">
        <v>215</v>
      </c>
      <c r="F66" s="16" t="s">
        <v>83</v>
      </c>
    </row>
    <row r="67" customFormat="false" ht="25.5" hidden="false" customHeight="true" outlineLevel="0" collapsed="false">
      <c r="B67" s="17" t="s">
        <v>216</v>
      </c>
      <c r="C67" s="17" t="s">
        <v>138</v>
      </c>
      <c r="D67" s="17" t="s">
        <v>81</v>
      </c>
      <c r="E67" s="17" t="s">
        <v>217</v>
      </c>
      <c r="F67" s="17" t="s">
        <v>218</v>
      </c>
    </row>
    <row r="68" customFormat="false" ht="25.5" hidden="false" customHeight="true" outlineLevel="0" collapsed="false">
      <c r="B68" s="16" t="s">
        <v>219</v>
      </c>
      <c r="C68" s="16" t="s">
        <v>220</v>
      </c>
      <c r="D68" s="16" t="s">
        <v>81</v>
      </c>
      <c r="E68" s="16" t="s">
        <v>217</v>
      </c>
      <c r="F68" s="16" t="s">
        <v>218</v>
      </c>
    </row>
    <row r="69" customFormat="false" ht="25.5" hidden="false" customHeight="true" outlineLevel="0" collapsed="false">
      <c r="B69" s="17" t="s">
        <v>221</v>
      </c>
      <c r="C69" s="17" t="s">
        <v>222</v>
      </c>
      <c r="D69" s="17" t="s">
        <v>223</v>
      </c>
      <c r="E69" s="17" t="s">
        <v>224</v>
      </c>
      <c r="F69" s="17" t="s">
        <v>120</v>
      </c>
    </row>
  </sheetData>
  <mergeCells count="9">
    <mergeCell ref="B2:F2"/>
    <mergeCell ref="B3:F3"/>
    <mergeCell ref="B5:E5"/>
    <mergeCell ref="B13:E13"/>
    <mergeCell ref="B21:E21"/>
    <mergeCell ref="B27:G27"/>
    <mergeCell ref="B28:G28"/>
    <mergeCell ref="B47:G47"/>
    <mergeCell ref="B61:G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22"/>
    <col collapsed="false" customWidth="true" hidden="false" outlineLevel="0" max="4" min="4" style="0" width="16"/>
    <col collapsed="false" customWidth="true" hidden="false" outlineLevel="0" max="6" min="5" style="0" width="14"/>
    <col collapsed="false" customWidth="true" hidden="false" outlineLevel="0" max="7" min="7" style="0" width="44"/>
    <col collapsed="false" customWidth="true" hidden="false" outlineLevel="0" max="31" min="8" style="0" width="6"/>
    <col collapsed="false" customWidth="true" hidden="false" outlineLevel="0" max="32" min="32" style="0" width="20"/>
  </cols>
  <sheetData>
    <row r="2" customFormat="false" ht="21.75" hidden="false" customHeight="true" outlineLevel="0" collapsed="false">
      <c r="B2" s="12" t="s">
        <v>225</v>
      </c>
      <c r="C2" s="12"/>
      <c r="D2" s="12"/>
      <c r="E2" s="12"/>
      <c r="F2" s="12"/>
      <c r="G2" s="12"/>
      <c r="H2" s="12"/>
      <c r="I2" s="12"/>
      <c r="J2" s="12"/>
      <c r="K2" s="12"/>
      <c r="L2" s="12"/>
    </row>
    <row r="3" customFormat="false" ht="22.35" hidden="false" customHeight="true" outlineLevel="0" collapsed="false">
      <c r="B3" s="13" t="s">
        <v>226</v>
      </c>
      <c r="C3" s="13"/>
      <c r="D3" s="13"/>
      <c r="E3" s="13"/>
      <c r="F3" s="13"/>
      <c r="G3" s="13"/>
      <c r="H3" s="13"/>
      <c r="I3" s="13"/>
      <c r="J3" s="13"/>
      <c r="K3" s="13"/>
      <c r="L3" s="13"/>
    </row>
    <row r="5" customFormat="false" ht="21.75" hidden="false" customHeight="true" outlineLevel="0" collapsed="false">
      <c r="B5" s="18" t="s">
        <v>227</v>
      </c>
      <c r="C5" s="18" t="s">
        <v>228</v>
      </c>
      <c r="D5" s="18" t="s">
        <v>229</v>
      </c>
      <c r="E5" s="18" t="s">
        <v>230</v>
      </c>
      <c r="F5" s="18" t="s">
        <v>231</v>
      </c>
      <c r="G5" s="18" t="s">
        <v>232</v>
      </c>
      <c r="H5" s="19" t="s">
        <v>233</v>
      </c>
      <c r="I5" s="19"/>
      <c r="J5" s="19"/>
      <c r="K5" s="19" t="s">
        <v>234</v>
      </c>
      <c r="L5" s="19"/>
      <c r="M5" s="19"/>
      <c r="N5" s="19" t="s">
        <v>235</v>
      </c>
      <c r="O5" s="19"/>
      <c r="P5" s="19"/>
      <c r="Q5" s="19" t="s">
        <v>236</v>
      </c>
      <c r="R5" s="19"/>
      <c r="S5" s="19"/>
      <c r="T5" s="19" t="s">
        <v>237</v>
      </c>
      <c r="U5" s="19"/>
      <c r="V5" s="19"/>
      <c r="W5" s="19" t="s">
        <v>238</v>
      </c>
      <c r="X5" s="19"/>
      <c r="Y5" s="19"/>
      <c r="Z5" s="19" t="s">
        <v>239</v>
      </c>
      <c r="AA5" s="19"/>
      <c r="AB5" s="19"/>
      <c r="AC5" s="19" t="s">
        <v>240</v>
      </c>
      <c r="AD5" s="19"/>
      <c r="AE5" s="19"/>
      <c r="AF5" s="18" t="s">
        <v>241</v>
      </c>
    </row>
    <row r="6" customFormat="false" ht="15.75" hidden="false" customHeight="true" outlineLevel="0" collapsed="false">
      <c r="B6" s="18"/>
      <c r="C6" s="18"/>
      <c r="D6" s="18"/>
      <c r="E6" s="18"/>
      <c r="F6" s="18"/>
      <c r="G6" s="18"/>
      <c r="H6" s="20" t="s">
        <v>242</v>
      </c>
      <c r="I6" s="20" t="s">
        <v>243</v>
      </c>
      <c r="J6" s="20" t="s">
        <v>244</v>
      </c>
      <c r="K6" s="20" t="s">
        <v>245</v>
      </c>
      <c r="L6" s="20" t="s">
        <v>246</v>
      </c>
      <c r="M6" s="20" t="s">
        <v>247</v>
      </c>
      <c r="N6" s="20" t="s">
        <v>248</v>
      </c>
      <c r="O6" s="20" t="s">
        <v>249</v>
      </c>
      <c r="P6" s="20" t="s">
        <v>250</v>
      </c>
      <c r="Q6" s="20" t="s">
        <v>251</v>
      </c>
      <c r="R6" s="20" t="s">
        <v>252</v>
      </c>
      <c r="S6" s="20" t="s">
        <v>253</v>
      </c>
      <c r="T6" s="20" t="s">
        <v>254</v>
      </c>
      <c r="U6" s="20" t="s">
        <v>255</v>
      </c>
      <c r="V6" s="20" t="s">
        <v>256</v>
      </c>
      <c r="W6" s="20" t="s">
        <v>257</v>
      </c>
      <c r="X6" s="20" t="s">
        <v>258</v>
      </c>
      <c r="Y6" s="20" t="s">
        <v>259</v>
      </c>
      <c r="Z6" s="20" t="s">
        <v>260</v>
      </c>
      <c r="AA6" s="20" t="s">
        <v>261</v>
      </c>
      <c r="AB6" s="20" t="s">
        <v>262</v>
      </c>
      <c r="AC6" s="20" t="s">
        <v>263</v>
      </c>
      <c r="AD6" s="20" t="s">
        <v>264</v>
      </c>
      <c r="AE6" s="20" t="s">
        <v>265</v>
      </c>
      <c r="AF6" s="18"/>
    </row>
    <row r="7" customFormat="false" ht="60" hidden="false" customHeight="true" outlineLevel="0" collapsed="false">
      <c r="B7" s="16" t="s">
        <v>134</v>
      </c>
      <c r="C7" s="16" t="s">
        <v>266</v>
      </c>
      <c r="D7" s="21" t="s">
        <v>267</v>
      </c>
      <c r="E7" s="22" t="s">
        <v>180</v>
      </c>
      <c r="F7" s="22" t="s">
        <v>268</v>
      </c>
      <c r="G7" s="16" t="s">
        <v>269</v>
      </c>
      <c r="H7" s="23" t="s">
        <v>270</v>
      </c>
      <c r="I7" s="23" t="s">
        <v>270</v>
      </c>
      <c r="J7" s="23" t="s">
        <v>270</v>
      </c>
      <c r="K7" s="23" t="s">
        <v>270</v>
      </c>
      <c r="L7" s="23" t="s">
        <v>270</v>
      </c>
      <c r="M7" s="23" t="s">
        <v>270</v>
      </c>
      <c r="N7" s="23"/>
      <c r="O7" s="23"/>
      <c r="P7" s="23"/>
      <c r="Q7" s="23"/>
      <c r="R7" s="23"/>
      <c r="S7" s="23"/>
      <c r="T7" s="23"/>
      <c r="U7" s="23"/>
      <c r="V7" s="23"/>
      <c r="W7" s="23"/>
      <c r="X7" s="23"/>
      <c r="Y7" s="23"/>
      <c r="Z7" s="23"/>
      <c r="AA7" s="23"/>
      <c r="AB7" s="23"/>
      <c r="AC7" s="23"/>
      <c r="AD7" s="23"/>
      <c r="AE7" s="23"/>
      <c r="AF7" s="22" t="s">
        <v>271</v>
      </c>
    </row>
    <row r="8" customFormat="false" ht="60" hidden="false" customHeight="true" outlineLevel="0" collapsed="false">
      <c r="B8" s="16" t="s">
        <v>272</v>
      </c>
      <c r="C8" s="16" t="s">
        <v>273</v>
      </c>
      <c r="D8" s="21" t="s">
        <v>274</v>
      </c>
      <c r="E8" s="22" t="s">
        <v>275</v>
      </c>
      <c r="F8" s="22" t="s">
        <v>276</v>
      </c>
      <c r="G8" s="16" t="s">
        <v>277</v>
      </c>
      <c r="H8" s="23" t="s">
        <v>270</v>
      </c>
      <c r="I8" s="23" t="s">
        <v>270</v>
      </c>
      <c r="J8" s="23" t="s">
        <v>270</v>
      </c>
      <c r="K8" s="23" t="s">
        <v>270</v>
      </c>
      <c r="L8" s="23" t="s">
        <v>270</v>
      </c>
      <c r="M8" s="23" t="s">
        <v>270</v>
      </c>
      <c r="N8" s="23" t="s">
        <v>270</v>
      </c>
      <c r="O8" s="23" t="s">
        <v>270</v>
      </c>
      <c r="P8" s="23" t="s">
        <v>270</v>
      </c>
      <c r="Q8" s="23" t="s">
        <v>270</v>
      </c>
      <c r="R8" s="23" t="s">
        <v>270</v>
      </c>
      <c r="S8" s="23" t="s">
        <v>270</v>
      </c>
      <c r="T8" s="23" t="s">
        <v>270</v>
      </c>
      <c r="U8" s="23" t="s">
        <v>270</v>
      </c>
      <c r="V8" s="23" t="s">
        <v>270</v>
      </c>
      <c r="W8" s="23" t="s">
        <v>270</v>
      </c>
      <c r="X8" s="23" t="s">
        <v>270</v>
      </c>
      <c r="Y8" s="23" t="s">
        <v>270</v>
      </c>
      <c r="Z8" s="23" t="s">
        <v>270</v>
      </c>
      <c r="AA8" s="23" t="s">
        <v>270</v>
      </c>
      <c r="AB8" s="23" t="s">
        <v>270</v>
      </c>
      <c r="AC8" s="23" t="s">
        <v>270</v>
      </c>
      <c r="AD8" s="23" t="s">
        <v>270</v>
      </c>
      <c r="AE8" s="23" t="s">
        <v>270</v>
      </c>
      <c r="AF8" s="22" t="s">
        <v>278</v>
      </c>
    </row>
    <row r="9" customFormat="false" ht="60" hidden="false" customHeight="true" outlineLevel="0" collapsed="false">
      <c r="B9" s="16" t="s">
        <v>279</v>
      </c>
      <c r="C9" s="16" t="s">
        <v>280</v>
      </c>
      <c r="D9" s="16" t="s">
        <v>281</v>
      </c>
      <c r="E9" s="22" t="s">
        <v>282</v>
      </c>
      <c r="F9" s="22" t="s">
        <v>283</v>
      </c>
      <c r="G9" s="16" t="s">
        <v>284</v>
      </c>
      <c r="H9" s="23" t="s">
        <v>270</v>
      </c>
      <c r="I9" s="23" t="s">
        <v>270</v>
      </c>
      <c r="J9" s="23" t="s">
        <v>270</v>
      </c>
      <c r="K9" s="23" t="s">
        <v>270</v>
      </c>
      <c r="L9" s="23" t="s">
        <v>270</v>
      </c>
      <c r="M9" s="23" t="s">
        <v>270</v>
      </c>
      <c r="N9" s="23" t="s">
        <v>270</v>
      </c>
      <c r="O9" s="23" t="s">
        <v>270</v>
      </c>
      <c r="P9" s="23" t="s">
        <v>270</v>
      </c>
      <c r="Q9" s="23" t="s">
        <v>270</v>
      </c>
      <c r="R9" s="23" t="s">
        <v>270</v>
      </c>
      <c r="S9" s="23" t="s">
        <v>270</v>
      </c>
      <c r="T9" s="23" t="s">
        <v>270</v>
      </c>
      <c r="U9" s="23" t="s">
        <v>270</v>
      </c>
      <c r="V9" s="23" t="s">
        <v>270</v>
      </c>
      <c r="W9" s="23" t="s">
        <v>270</v>
      </c>
      <c r="X9" s="23" t="s">
        <v>270</v>
      </c>
      <c r="Y9" s="23" t="s">
        <v>270</v>
      </c>
      <c r="Z9" s="23" t="s">
        <v>270</v>
      </c>
      <c r="AA9" s="23" t="s">
        <v>270</v>
      </c>
      <c r="AB9" s="23" t="s">
        <v>270</v>
      </c>
      <c r="AC9" s="23" t="s">
        <v>270</v>
      </c>
      <c r="AD9" s="23" t="s">
        <v>270</v>
      </c>
      <c r="AE9" s="23" t="s">
        <v>270</v>
      </c>
      <c r="AF9" s="22" t="s">
        <v>285</v>
      </c>
    </row>
    <row r="10" customFormat="false" ht="60" hidden="false" customHeight="true" outlineLevel="0" collapsed="false">
      <c r="B10" s="16" t="s">
        <v>286</v>
      </c>
      <c r="C10" s="16" t="s">
        <v>287</v>
      </c>
      <c r="D10" s="16" t="s">
        <v>288</v>
      </c>
      <c r="E10" s="22" t="s">
        <v>282</v>
      </c>
      <c r="F10" s="22" t="s">
        <v>276</v>
      </c>
      <c r="G10" s="16" t="s">
        <v>289</v>
      </c>
      <c r="H10" s="23" t="s">
        <v>270</v>
      </c>
      <c r="I10" s="23" t="s">
        <v>270</v>
      </c>
      <c r="J10" s="23" t="s">
        <v>270</v>
      </c>
      <c r="K10" s="23" t="s">
        <v>270</v>
      </c>
      <c r="L10" s="23" t="s">
        <v>270</v>
      </c>
      <c r="M10" s="23" t="s">
        <v>270</v>
      </c>
      <c r="N10" s="23" t="s">
        <v>270</v>
      </c>
      <c r="O10" s="23" t="s">
        <v>270</v>
      </c>
      <c r="P10" s="23" t="s">
        <v>270</v>
      </c>
      <c r="Q10" s="23" t="s">
        <v>270</v>
      </c>
      <c r="R10" s="23" t="s">
        <v>270</v>
      </c>
      <c r="S10" s="23" t="s">
        <v>270</v>
      </c>
      <c r="T10" s="23" t="s">
        <v>270</v>
      </c>
      <c r="U10" s="23" t="s">
        <v>270</v>
      </c>
      <c r="V10" s="23" t="s">
        <v>270</v>
      </c>
      <c r="W10" s="23" t="s">
        <v>270</v>
      </c>
      <c r="X10" s="23" t="s">
        <v>270</v>
      </c>
      <c r="Y10" s="23" t="s">
        <v>270</v>
      </c>
      <c r="Z10" s="23" t="s">
        <v>270</v>
      </c>
      <c r="AA10" s="23" t="s">
        <v>270</v>
      </c>
      <c r="AB10" s="23" t="s">
        <v>270</v>
      </c>
      <c r="AC10" s="23" t="s">
        <v>270</v>
      </c>
      <c r="AD10" s="23" t="s">
        <v>270</v>
      </c>
      <c r="AE10" s="23" t="s">
        <v>270</v>
      </c>
      <c r="AF10" s="22" t="s">
        <v>290</v>
      </c>
    </row>
    <row r="11" customFormat="false" ht="60" hidden="false" customHeight="true" outlineLevel="0" collapsed="false">
      <c r="B11" s="16" t="s">
        <v>121</v>
      </c>
      <c r="C11" s="16" t="s">
        <v>291</v>
      </c>
      <c r="D11" s="21" t="s">
        <v>292</v>
      </c>
      <c r="E11" s="22" t="s">
        <v>180</v>
      </c>
      <c r="F11" s="22" t="s">
        <v>293</v>
      </c>
      <c r="G11" s="16" t="s">
        <v>294</v>
      </c>
      <c r="H11" s="23" t="s">
        <v>270</v>
      </c>
      <c r="I11" s="23" t="s">
        <v>270</v>
      </c>
      <c r="J11" s="23" t="s">
        <v>270</v>
      </c>
      <c r="K11" s="23" t="s">
        <v>270</v>
      </c>
      <c r="L11" s="23" t="s">
        <v>270</v>
      </c>
      <c r="M11" s="23" t="s">
        <v>270</v>
      </c>
      <c r="N11" s="23" t="s">
        <v>270</v>
      </c>
      <c r="O11" s="23" t="s">
        <v>270</v>
      </c>
      <c r="P11" s="23" t="s">
        <v>270</v>
      </c>
      <c r="Q11" s="23" t="s">
        <v>270</v>
      </c>
      <c r="R11" s="23" t="s">
        <v>270</v>
      </c>
      <c r="S11" s="23" t="s">
        <v>270</v>
      </c>
      <c r="T11" s="23" t="s">
        <v>270</v>
      </c>
      <c r="U11" s="23" t="s">
        <v>270</v>
      </c>
      <c r="V11" s="23" t="s">
        <v>270</v>
      </c>
      <c r="W11" s="23" t="s">
        <v>270</v>
      </c>
      <c r="X11" s="23" t="s">
        <v>270</v>
      </c>
      <c r="Y11" s="23" t="s">
        <v>270</v>
      </c>
      <c r="Z11" s="23" t="s">
        <v>270</v>
      </c>
      <c r="AA11" s="23" t="s">
        <v>270</v>
      </c>
      <c r="AB11" s="23" t="s">
        <v>270</v>
      </c>
      <c r="AC11" s="23" t="s">
        <v>270</v>
      </c>
      <c r="AD11" s="23" t="s">
        <v>270</v>
      </c>
      <c r="AE11" s="23" t="s">
        <v>270</v>
      </c>
      <c r="AF11" s="22" t="s">
        <v>295</v>
      </c>
    </row>
    <row r="12" customFormat="false" ht="60" hidden="false" customHeight="true" outlineLevel="0" collapsed="false">
      <c r="B12" s="16" t="s">
        <v>296</v>
      </c>
      <c r="C12" s="16" t="s">
        <v>297</v>
      </c>
      <c r="D12" s="21" t="s">
        <v>298</v>
      </c>
      <c r="E12" s="22" t="s">
        <v>299</v>
      </c>
      <c r="F12" s="22" t="s">
        <v>300</v>
      </c>
      <c r="G12" s="16" t="s">
        <v>301</v>
      </c>
      <c r="H12" s="23" t="s">
        <v>270</v>
      </c>
      <c r="I12" s="23" t="s">
        <v>270</v>
      </c>
      <c r="J12" s="23" t="s">
        <v>270</v>
      </c>
      <c r="K12" s="23" t="s">
        <v>270</v>
      </c>
      <c r="L12" s="23" t="s">
        <v>270</v>
      </c>
      <c r="M12" s="23" t="s">
        <v>270</v>
      </c>
      <c r="N12" s="23" t="s">
        <v>270</v>
      </c>
      <c r="O12" s="23" t="s">
        <v>270</v>
      </c>
      <c r="P12" s="23" t="s">
        <v>270</v>
      </c>
      <c r="Q12" s="23" t="s">
        <v>270</v>
      </c>
      <c r="R12" s="23" t="s">
        <v>270</v>
      </c>
      <c r="S12" s="23" t="s">
        <v>270</v>
      </c>
      <c r="T12" s="23" t="s">
        <v>270</v>
      </c>
      <c r="U12" s="23" t="s">
        <v>270</v>
      </c>
      <c r="V12" s="23" t="s">
        <v>270</v>
      </c>
      <c r="W12" s="23" t="s">
        <v>270</v>
      </c>
      <c r="X12" s="23" t="s">
        <v>270</v>
      </c>
      <c r="Y12" s="23" t="s">
        <v>270</v>
      </c>
      <c r="Z12" s="23" t="s">
        <v>270</v>
      </c>
      <c r="AA12" s="23" t="s">
        <v>270</v>
      </c>
      <c r="AB12" s="23" t="s">
        <v>270</v>
      </c>
      <c r="AC12" s="23" t="s">
        <v>270</v>
      </c>
      <c r="AD12" s="23" t="s">
        <v>270</v>
      </c>
      <c r="AE12" s="23" t="s">
        <v>270</v>
      </c>
      <c r="AF12" s="22" t="s">
        <v>129</v>
      </c>
    </row>
    <row r="13" customFormat="false" ht="60" hidden="false" customHeight="true" outlineLevel="0" collapsed="false">
      <c r="B13" s="16" t="s">
        <v>194</v>
      </c>
      <c r="C13" s="16" t="s">
        <v>302</v>
      </c>
      <c r="D13" s="16" t="s">
        <v>303</v>
      </c>
      <c r="E13" s="22" t="s">
        <v>304</v>
      </c>
      <c r="F13" s="22" t="s">
        <v>305</v>
      </c>
      <c r="G13" s="16" t="s">
        <v>306</v>
      </c>
      <c r="H13" s="23"/>
      <c r="I13" s="23"/>
      <c r="J13" s="23"/>
      <c r="K13" s="23" t="s">
        <v>270</v>
      </c>
      <c r="L13" s="23" t="s">
        <v>270</v>
      </c>
      <c r="M13" s="23" t="s">
        <v>270</v>
      </c>
      <c r="N13" s="23"/>
      <c r="O13" s="23"/>
      <c r="P13" s="23"/>
      <c r="Q13" s="23" t="s">
        <v>270</v>
      </c>
      <c r="R13" s="23" t="s">
        <v>270</v>
      </c>
      <c r="S13" s="23" t="s">
        <v>270</v>
      </c>
      <c r="T13" s="23"/>
      <c r="U13" s="23"/>
      <c r="V13" s="23"/>
      <c r="W13" s="23" t="s">
        <v>270</v>
      </c>
      <c r="X13" s="23" t="s">
        <v>270</v>
      </c>
      <c r="Y13" s="23" t="s">
        <v>270</v>
      </c>
      <c r="Z13" s="23"/>
      <c r="AA13" s="23"/>
      <c r="AB13" s="23"/>
      <c r="AC13" s="23" t="s">
        <v>270</v>
      </c>
      <c r="AD13" s="23" t="s">
        <v>270</v>
      </c>
      <c r="AE13" s="23" t="s">
        <v>270</v>
      </c>
      <c r="AF13" s="22" t="s">
        <v>112</v>
      </c>
    </row>
    <row r="14" customFormat="false" ht="60" hidden="false" customHeight="true" outlineLevel="0" collapsed="false">
      <c r="B14" s="16" t="s">
        <v>307</v>
      </c>
      <c r="C14" s="16" t="s">
        <v>308</v>
      </c>
      <c r="D14" s="16" t="s">
        <v>309</v>
      </c>
      <c r="E14" s="22" t="s">
        <v>282</v>
      </c>
      <c r="F14" s="22" t="s">
        <v>283</v>
      </c>
      <c r="G14" s="16" t="s">
        <v>310</v>
      </c>
      <c r="H14" s="23"/>
      <c r="I14" s="23"/>
      <c r="J14" s="23"/>
      <c r="K14" s="23"/>
      <c r="L14" s="23"/>
      <c r="M14" s="23"/>
      <c r="N14" s="23"/>
      <c r="O14" s="23"/>
      <c r="P14" s="23"/>
      <c r="Q14" s="23" t="s">
        <v>270</v>
      </c>
      <c r="R14" s="23" t="s">
        <v>270</v>
      </c>
      <c r="S14" s="23" t="s">
        <v>270</v>
      </c>
      <c r="T14" s="23"/>
      <c r="U14" s="23"/>
      <c r="V14" s="23"/>
      <c r="W14" s="23"/>
      <c r="X14" s="23"/>
      <c r="Y14" s="23"/>
      <c r="Z14" s="23"/>
      <c r="AA14" s="23"/>
      <c r="AB14" s="23"/>
      <c r="AC14" s="23"/>
      <c r="AD14" s="23"/>
      <c r="AE14" s="23"/>
      <c r="AF14" s="22" t="s">
        <v>138</v>
      </c>
    </row>
    <row r="15" customFormat="false" ht="60" hidden="false" customHeight="true" outlineLevel="0" collapsed="false">
      <c r="B15" s="16" t="s">
        <v>311</v>
      </c>
      <c r="C15" s="16" t="s">
        <v>312</v>
      </c>
      <c r="D15" s="16" t="s">
        <v>281</v>
      </c>
      <c r="E15" s="22" t="s">
        <v>282</v>
      </c>
      <c r="F15" s="22" t="s">
        <v>283</v>
      </c>
      <c r="G15" s="16" t="s">
        <v>313</v>
      </c>
      <c r="H15" s="23"/>
      <c r="I15" s="23"/>
      <c r="J15" s="23"/>
      <c r="K15" s="23"/>
      <c r="L15" s="23"/>
      <c r="M15" s="23"/>
      <c r="N15" s="23"/>
      <c r="O15" s="23"/>
      <c r="P15" s="23"/>
      <c r="Q15" s="23" t="s">
        <v>270</v>
      </c>
      <c r="R15" s="23" t="s">
        <v>270</v>
      </c>
      <c r="S15" s="23" t="s">
        <v>270</v>
      </c>
      <c r="T15" s="23"/>
      <c r="U15" s="23"/>
      <c r="V15" s="23"/>
      <c r="W15" s="23"/>
      <c r="X15" s="23"/>
      <c r="Y15" s="23"/>
      <c r="Z15" s="23"/>
      <c r="AA15" s="23"/>
      <c r="AB15" s="23"/>
      <c r="AC15" s="23"/>
      <c r="AD15" s="23"/>
      <c r="AE15" s="23"/>
      <c r="AF15" s="22" t="s">
        <v>138</v>
      </c>
    </row>
    <row r="16" customFormat="false" ht="60" hidden="false" customHeight="true" outlineLevel="0" collapsed="false">
      <c r="B16" s="16" t="s">
        <v>314</v>
      </c>
      <c r="C16" s="16" t="s">
        <v>315</v>
      </c>
      <c r="D16" s="21" t="s">
        <v>316</v>
      </c>
      <c r="E16" s="22" t="s">
        <v>180</v>
      </c>
      <c r="F16" s="22" t="s">
        <v>268</v>
      </c>
      <c r="G16" s="16" t="s">
        <v>317</v>
      </c>
      <c r="H16" s="23"/>
      <c r="I16" s="23"/>
      <c r="J16" s="23"/>
      <c r="K16" s="23"/>
      <c r="L16" s="23"/>
      <c r="M16" s="23"/>
      <c r="N16" s="23"/>
      <c r="O16" s="23"/>
      <c r="P16" s="23"/>
      <c r="Q16" s="23" t="s">
        <v>270</v>
      </c>
      <c r="R16" s="23" t="s">
        <v>270</v>
      </c>
      <c r="S16" s="23" t="s">
        <v>270</v>
      </c>
      <c r="T16" s="23"/>
      <c r="U16" s="23"/>
      <c r="V16" s="23"/>
      <c r="W16" s="23"/>
      <c r="X16" s="23"/>
      <c r="Y16" s="23"/>
      <c r="Z16" s="23"/>
      <c r="AA16" s="23"/>
      <c r="AB16" s="23"/>
      <c r="AC16" s="23"/>
      <c r="AD16" s="23"/>
      <c r="AE16" s="23"/>
      <c r="AF16" s="22" t="s">
        <v>138</v>
      </c>
    </row>
    <row r="17" customFormat="false" ht="60" hidden="false" customHeight="true" outlineLevel="0" collapsed="false">
      <c r="B17" s="16" t="s">
        <v>318</v>
      </c>
      <c r="C17" s="16" t="s">
        <v>319</v>
      </c>
      <c r="D17" s="16" t="s">
        <v>281</v>
      </c>
      <c r="E17" s="22" t="s">
        <v>282</v>
      </c>
      <c r="F17" s="22" t="s">
        <v>283</v>
      </c>
      <c r="G17" s="16" t="s">
        <v>320</v>
      </c>
      <c r="H17" s="23"/>
      <c r="I17" s="23"/>
      <c r="J17" s="23"/>
      <c r="K17" s="23"/>
      <c r="L17" s="23"/>
      <c r="M17" s="23"/>
      <c r="N17" s="23"/>
      <c r="O17" s="23"/>
      <c r="P17" s="23"/>
      <c r="Q17" s="23"/>
      <c r="R17" s="23"/>
      <c r="S17" s="23"/>
      <c r="T17" s="23"/>
      <c r="U17" s="23"/>
      <c r="V17" s="23"/>
      <c r="W17" s="23"/>
      <c r="X17" s="23"/>
      <c r="Y17" s="23"/>
      <c r="Z17" s="23"/>
      <c r="AA17" s="23"/>
      <c r="AB17" s="23"/>
      <c r="AC17" s="23" t="s">
        <v>270</v>
      </c>
      <c r="AD17" s="23" t="s">
        <v>270</v>
      </c>
      <c r="AE17" s="23" t="s">
        <v>270</v>
      </c>
      <c r="AF17" s="22" t="s">
        <v>140</v>
      </c>
    </row>
    <row r="18" customFormat="false" ht="60" hidden="false" customHeight="true" outlineLevel="0" collapsed="false">
      <c r="B18" s="16" t="s">
        <v>321</v>
      </c>
      <c r="C18" s="16" t="s">
        <v>322</v>
      </c>
      <c r="D18" s="21" t="s">
        <v>323</v>
      </c>
      <c r="E18" s="22" t="s">
        <v>180</v>
      </c>
      <c r="F18" s="22" t="s">
        <v>268</v>
      </c>
      <c r="G18" s="16" t="s">
        <v>324</v>
      </c>
      <c r="H18" s="23"/>
      <c r="I18" s="23"/>
      <c r="J18" s="23"/>
      <c r="K18" s="23"/>
      <c r="L18" s="23"/>
      <c r="M18" s="23"/>
      <c r="N18" s="23"/>
      <c r="O18" s="23"/>
      <c r="P18" s="23"/>
      <c r="Q18" s="23"/>
      <c r="R18" s="23"/>
      <c r="S18" s="23"/>
      <c r="T18" s="23"/>
      <c r="U18" s="23"/>
      <c r="V18" s="23"/>
      <c r="W18" s="23"/>
      <c r="X18" s="23"/>
      <c r="Y18" s="23"/>
      <c r="Z18" s="23"/>
      <c r="AA18" s="23"/>
      <c r="AB18" s="23"/>
      <c r="AC18" s="23" t="s">
        <v>270</v>
      </c>
      <c r="AD18" s="23" t="s">
        <v>270</v>
      </c>
      <c r="AE18" s="23" t="s">
        <v>270</v>
      </c>
      <c r="AF18" s="22" t="s">
        <v>325</v>
      </c>
    </row>
    <row r="19" customFormat="false" ht="60" hidden="false" customHeight="true" outlineLevel="0" collapsed="false">
      <c r="B19" s="16" t="s">
        <v>326</v>
      </c>
      <c r="C19" s="16" t="s">
        <v>312</v>
      </c>
      <c r="D19" s="16" t="s">
        <v>281</v>
      </c>
      <c r="E19" s="22" t="s">
        <v>282</v>
      </c>
      <c r="F19" s="22" t="s">
        <v>283</v>
      </c>
      <c r="G19" s="16" t="s">
        <v>327</v>
      </c>
      <c r="H19" s="23"/>
      <c r="I19" s="23"/>
      <c r="J19" s="23"/>
      <c r="K19" s="23"/>
      <c r="L19" s="23"/>
      <c r="M19" s="23"/>
      <c r="N19" s="23"/>
      <c r="O19" s="23"/>
      <c r="P19" s="23"/>
      <c r="Q19" s="23"/>
      <c r="R19" s="23"/>
      <c r="S19" s="23"/>
      <c r="T19" s="23"/>
      <c r="U19" s="23"/>
      <c r="V19" s="23"/>
      <c r="W19" s="23"/>
      <c r="X19" s="23"/>
      <c r="Y19" s="23"/>
      <c r="Z19" s="23"/>
      <c r="AA19" s="23"/>
      <c r="AB19" s="23"/>
      <c r="AC19" s="23" t="s">
        <v>270</v>
      </c>
      <c r="AD19" s="23" t="s">
        <v>270</v>
      </c>
      <c r="AE19" s="23" t="s">
        <v>270</v>
      </c>
      <c r="AF19" s="22" t="s">
        <v>220</v>
      </c>
    </row>
    <row r="20" customFormat="false" ht="60" hidden="false" customHeight="true" outlineLevel="0" collapsed="false">
      <c r="B20" s="16" t="s">
        <v>328</v>
      </c>
      <c r="C20" s="16" t="s">
        <v>329</v>
      </c>
      <c r="D20" s="16" t="s">
        <v>330</v>
      </c>
      <c r="E20" s="22" t="s">
        <v>180</v>
      </c>
      <c r="F20" s="22" t="s">
        <v>331</v>
      </c>
      <c r="G20" s="16" t="s">
        <v>332</v>
      </c>
      <c r="H20" s="23"/>
      <c r="I20" s="23"/>
      <c r="J20" s="23"/>
      <c r="K20" s="23"/>
      <c r="L20" s="23"/>
      <c r="M20" s="23"/>
      <c r="N20" s="23"/>
      <c r="O20" s="23"/>
      <c r="P20" s="23"/>
      <c r="Q20" s="23"/>
      <c r="R20" s="23"/>
      <c r="S20" s="23"/>
      <c r="T20" s="23"/>
      <c r="U20" s="23"/>
      <c r="V20" s="23"/>
      <c r="W20" s="23"/>
      <c r="X20" s="23"/>
      <c r="Y20" s="23"/>
      <c r="Z20" s="23"/>
      <c r="AA20" s="23"/>
      <c r="AB20" s="23"/>
      <c r="AC20" s="23" t="s">
        <v>270</v>
      </c>
      <c r="AD20" s="23" t="s">
        <v>270</v>
      </c>
      <c r="AE20" s="23" t="s">
        <v>270</v>
      </c>
      <c r="AF20" s="22" t="s">
        <v>140</v>
      </c>
    </row>
  </sheetData>
  <mergeCells count="17">
    <mergeCell ref="B2:L2"/>
    <mergeCell ref="B3:L3"/>
    <mergeCell ref="B5:B6"/>
    <mergeCell ref="C5:C6"/>
    <mergeCell ref="D5:D6"/>
    <mergeCell ref="E5:E6"/>
    <mergeCell ref="F5:F6"/>
    <mergeCell ref="G5:G6"/>
    <mergeCell ref="H5:J5"/>
    <mergeCell ref="K5:M5"/>
    <mergeCell ref="N5:P5"/>
    <mergeCell ref="Q5:S5"/>
    <mergeCell ref="T5:V5"/>
    <mergeCell ref="W5:Y5"/>
    <mergeCell ref="Z5:AB5"/>
    <mergeCell ref="AC5:AE5"/>
    <mergeCell ref="AF5:AF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18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1" min="2" style="0" width="13"/>
  </cols>
  <sheetData>
    <row r="2" customFormat="false" ht="21.75" hidden="false" customHeight="true" outlineLevel="0" collapsed="false">
      <c r="B2" s="12" t="s">
        <v>333</v>
      </c>
      <c r="C2" s="12"/>
      <c r="D2" s="12"/>
      <c r="E2" s="12"/>
      <c r="F2" s="12"/>
      <c r="G2" s="12"/>
      <c r="H2" s="12"/>
      <c r="I2" s="12"/>
      <c r="J2" s="12"/>
      <c r="K2" s="12"/>
    </row>
    <row r="3" customFormat="false" ht="22.35" hidden="false" customHeight="true" outlineLevel="0" collapsed="false">
      <c r="B3" s="13" t="s">
        <v>334</v>
      </c>
      <c r="C3" s="13"/>
      <c r="D3" s="13"/>
      <c r="E3" s="13"/>
      <c r="F3" s="13"/>
      <c r="G3" s="13"/>
      <c r="H3" s="13"/>
      <c r="I3" s="13"/>
      <c r="J3" s="13"/>
      <c r="K3" s="13"/>
    </row>
    <row r="5" customFormat="false" ht="30" hidden="false" customHeight="true" outlineLevel="0" collapsed="false">
      <c r="B5" s="24" t="s">
        <v>335</v>
      </c>
      <c r="C5" s="24"/>
      <c r="D5" s="24" t="s">
        <v>336</v>
      </c>
      <c r="E5" s="24"/>
      <c r="F5" s="24" t="s">
        <v>337</v>
      </c>
      <c r="G5" s="24"/>
      <c r="H5" s="24" t="s">
        <v>338</v>
      </c>
      <c r="I5" s="24"/>
    </row>
    <row r="6" customFormat="false" ht="31.5" hidden="false" customHeight="true" outlineLevel="0" collapsed="false">
      <c r="B6" s="25" t="n">
        <f aca="false">'7. IPTT'!$C$3</f>
        <v>1</v>
      </c>
      <c r="C6" s="25"/>
      <c r="D6" s="26" t="n">
        <f aca="false">IFERROR('13. Budget Tracker'!AD21/'13. Budget Tracker'!D21,"")</f>
        <v>0</v>
      </c>
      <c r="E6" s="26"/>
      <c r="F6" s="26" t="str">
        <f aca="false">IFERROR(AVERAGE('8. Activity Tracker'!AD7:AD93),"")</f>
        <v/>
      </c>
      <c r="G6" s="26"/>
      <c r="H6" s="25" t="n">
        <f aca="false">COUNTA('10. Activity Data Log'!$C$7:$C$46)+COUNTA('11. Distribution Log'!$C$7:$C$46)</f>
        <v>0</v>
      </c>
      <c r="I6" s="25"/>
    </row>
    <row r="8" customFormat="false" ht="21.75" hidden="false" customHeight="true" outlineLevel="0" collapsed="false">
      <c r="B8" s="12" t="s">
        <v>339</v>
      </c>
      <c r="C8" s="12"/>
      <c r="D8" s="12"/>
      <c r="E8" s="12"/>
      <c r="F8" s="12"/>
      <c r="G8" s="12"/>
      <c r="H8" s="12"/>
      <c r="I8" s="12"/>
      <c r="J8" s="12"/>
      <c r="K8" s="12"/>
    </row>
    <row r="9" customFormat="false" ht="15" hidden="false" customHeight="true" outlineLevel="0" collapsed="false">
      <c r="B9" s="13" t="s">
        <v>340</v>
      </c>
      <c r="C9" s="13"/>
      <c r="D9" s="13"/>
      <c r="E9" s="13"/>
      <c r="F9" s="13"/>
      <c r="G9" s="13"/>
      <c r="H9" s="13"/>
      <c r="I9" s="13"/>
      <c r="J9" s="13"/>
      <c r="K9" s="13"/>
    </row>
    <row r="11" customFormat="false" ht="19.5" hidden="false" customHeight="true" outlineLevel="0" collapsed="false">
      <c r="B11" s="27" t="s">
        <v>341</v>
      </c>
      <c r="C11" s="27"/>
      <c r="D11" s="27"/>
      <c r="E11" s="27" t="s">
        <v>342</v>
      </c>
      <c r="F11" s="27"/>
      <c r="G11" s="27"/>
      <c r="H11" s="27"/>
      <c r="I11" s="27" t="s">
        <v>343</v>
      </c>
      <c r="J11" s="27"/>
      <c r="K11" s="27"/>
    </row>
    <row r="12" customFormat="false" ht="18" hidden="false" customHeight="true" outlineLevel="0" collapsed="false">
      <c r="B12" s="28" t="s">
        <v>344</v>
      </c>
      <c r="C12" s="28"/>
      <c r="D12" s="28"/>
      <c r="E12" s="29" t="s">
        <v>345</v>
      </c>
      <c r="F12" s="29"/>
      <c r="G12" s="29"/>
      <c r="H12" s="29"/>
      <c r="I12" s="30" t="n">
        <f aca="false">COUNTIF('8. Activity Tracker'!AE7:AE93,"Behind")</f>
        <v>0</v>
      </c>
      <c r="J12" s="30"/>
      <c r="K12" s="30"/>
    </row>
    <row r="13" customFormat="false" ht="18" hidden="false" customHeight="true" outlineLevel="0" collapsed="false">
      <c r="B13" s="28" t="s">
        <v>346</v>
      </c>
      <c r="C13" s="28"/>
      <c r="D13" s="28"/>
      <c r="E13" s="29" t="s">
        <v>347</v>
      </c>
      <c r="F13" s="29"/>
      <c r="G13" s="29"/>
      <c r="H13" s="29"/>
      <c r="I13" s="30" t="n">
        <f aca="false">COUNTIFS('7. IPTT'!$W$15:$W$37,"&lt;0.7",'7. IPTT'!$W$15:$W$37,"&lt;&gt;")</f>
        <v>8</v>
      </c>
      <c r="J13" s="30"/>
      <c r="K13" s="30"/>
    </row>
    <row r="14" customFormat="false" ht="18" hidden="false" customHeight="true" outlineLevel="0" collapsed="false">
      <c r="B14" s="28" t="s">
        <v>348</v>
      </c>
      <c r="C14" s="28"/>
      <c r="D14" s="28"/>
      <c r="E14" s="29" t="s">
        <v>349</v>
      </c>
      <c r="F14" s="29"/>
      <c r="G14" s="29"/>
      <c r="H14" s="29"/>
      <c r="I14" s="30" t="n">
        <f aca="false">COUNTIF('13c. Budget - Yearly &amp; Total'!$H$6:$H$19,"&gt;1.1")</f>
        <v>0</v>
      </c>
      <c r="J14" s="30"/>
      <c r="K14" s="30"/>
    </row>
    <row r="15" customFormat="false" ht="18" hidden="false" customHeight="true" outlineLevel="0" collapsed="false">
      <c r="B15" s="28" t="s">
        <v>350</v>
      </c>
      <c r="C15" s="28"/>
      <c r="D15" s="28"/>
      <c r="E15" s="29" t="s">
        <v>351</v>
      </c>
      <c r="F15" s="29"/>
      <c r="G15" s="29"/>
      <c r="H15" s="29"/>
      <c r="I15" s="30" t="n">
        <f aca="false">SUMPRODUCT(ISNUMBER(SEARCH("5.",'6. CFM Log Template'!$U$7:$U$46))*1)+SUMPRODUCT(ISNUMBER(SEARCH("6.",'6. CFM Log Template'!$U$7:$U$46))*1)</f>
        <v>0</v>
      </c>
      <c r="J15" s="30"/>
      <c r="K15" s="30"/>
    </row>
    <row r="16" customFormat="false" ht="18" hidden="false" customHeight="true" outlineLevel="0" collapsed="false">
      <c r="B16" s="28" t="s">
        <v>352</v>
      </c>
      <c r="C16" s="28"/>
      <c r="D16" s="28"/>
      <c r="E16" s="29" t="s">
        <v>353</v>
      </c>
      <c r="F16" s="29"/>
      <c r="G16" s="29"/>
      <c r="H16" s="29"/>
      <c r="I16" s="30" t="n">
        <f aca="false">SUMPRODUCT(('10. Activity Data Log'!$F$7:$F$46="")*('10. Activity Data Log'!$U$7:$U$46&gt;0))</f>
        <v>0</v>
      </c>
      <c r="J16" s="30"/>
      <c r="K16" s="30"/>
    </row>
    <row r="18" customFormat="false" ht="21.75" hidden="false" customHeight="true" outlineLevel="0" collapsed="false">
      <c r="B18" s="9" t="s">
        <v>354</v>
      </c>
      <c r="C18" s="9"/>
      <c r="D18" s="9"/>
      <c r="E18" s="9"/>
      <c r="F18" s="9"/>
      <c r="G18" s="9"/>
      <c r="H18" s="9"/>
      <c r="I18" s="9"/>
      <c r="J18" s="9"/>
      <c r="K18" s="9"/>
    </row>
    <row r="19" customFormat="false" ht="15" hidden="false" customHeight="true" outlineLevel="0" collapsed="false">
      <c r="B19" s="13" t="s">
        <v>355</v>
      </c>
      <c r="C19" s="13"/>
      <c r="D19" s="13"/>
      <c r="E19" s="13"/>
      <c r="F19" s="13"/>
      <c r="G19" s="13"/>
      <c r="H19" s="13"/>
      <c r="I19" s="13"/>
      <c r="J19" s="13"/>
      <c r="K19" s="13"/>
    </row>
    <row r="21" customFormat="false" ht="19.5" hidden="false" customHeight="true" outlineLevel="0" collapsed="false">
      <c r="B21" s="31" t="s">
        <v>356</v>
      </c>
      <c r="C21" s="31"/>
      <c r="D21" s="31" t="s">
        <v>357</v>
      </c>
      <c r="E21" s="31"/>
      <c r="F21" s="31" t="s">
        <v>358</v>
      </c>
      <c r="G21" s="31"/>
      <c r="H21" s="31" t="s">
        <v>359</v>
      </c>
      <c r="I21" s="31"/>
    </row>
    <row r="22" customFormat="false" ht="25.5" hidden="false" customHeight="true" outlineLevel="0" collapsed="false">
      <c r="B22" s="32" t="n">
        <f aca="false">COUNTIF('8. Activity Tracker'!AE7:AE93,"On Track")</f>
        <v>0</v>
      </c>
      <c r="C22" s="32"/>
      <c r="D22" s="33" t="n">
        <f aca="false">COUNTIF('8. Activity Tracker'!AE7:AE93,"Slightly Behind")</f>
        <v>0</v>
      </c>
      <c r="E22" s="33"/>
      <c r="F22" s="34" t="n">
        <f aca="false">COUNTIF('8. Activity Tracker'!AE7:AE93,"Behind")</f>
        <v>0</v>
      </c>
      <c r="G22" s="34"/>
      <c r="H22" s="35" t="n">
        <f aca="false">COUNTIF('8. Activity Tracker'!AE7:AE93,"No data yet")</f>
        <v>75</v>
      </c>
      <c r="I22" s="35"/>
    </row>
    <row r="24" customFormat="false" ht="15" hidden="false" customHeight="true" outlineLevel="0" collapsed="false">
      <c r="B24" s="13" t="s">
        <v>360</v>
      </c>
      <c r="C24" s="13"/>
      <c r="D24" s="13"/>
      <c r="E24" s="13"/>
      <c r="F24" s="13"/>
      <c r="G24" s="13"/>
      <c r="H24" s="13"/>
      <c r="I24" s="13"/>
      <c r="J24" s="13"/>
      <c r="K24" s="13"/>
    </row>
    <row r="26" customFormat="false" ht="21.75" hidden="false" customHeight="true" outlineLevel="0" collapsed="false">
      <c r="B26" s="9" t="s">
        <v>361</v>
      </c>
      <c r="C26" s="9"/>
      <c r="D26" s="9"/>
      <c r="E26" s="9"/>
      <c r="F26" s="9"/>
      <c r="G26" s="9"/>
      <c r="H26" s="9"/>
      <c r="I26" s="9"/>
      <c r="J26" s="9"/>
      <c r="K26" s="9"/>
    </row>
    <row r="27" customFormat="false" ht="15" hidden="false" customHeight="true" outlineLevel="0" collapsed="false">
      <c r="B27" s="13" t="s">
        <v>362</v>
      </c>
      <c r="C27" s="13"/>
      <c r="D27" s="13"/>
      <c r="E27" s="13"/>
      <c r="F27" s="13"/>
      <c r="G27" s="13"/>
      <c r="H27" s="13"/>
      <c r="I27" s="13"/>
      <c r="J27" s="13"/>
      <c r="K27" s="13"/>
    </row>
    <row r="29" customFormat="false" ht="25.5" hidden="false" customHeight="true" outlineLevel="0" collapsed="false">
      <c r="B29" s="31" t="s">
        <v>363</v>
      </c>
      <c r="C29" s="31"/>
      <c r="D29" s="31" t="s">
        <v>364</v>
      </c>
      <c r="E29" s="31"/>
      <c r="F29" s="31" t="s">
        <v>365</v>
      </c>
      <c r="G29" s="31"/>
      <c r="H29" s="31" t="s">
        <v>366</v>
      </c>
      <c r="I29" s="31"/>
      <c r="J29" s="31" t="s">
        <v>367</v>
      </c>
      <c r="K29" s="31"/>
    </row>
    <row r="30" customFormat="false" ht="19.5" hidden="false" customHeight="true" outlineLevel="0" collapsed="false">
      <c r="B30" s="28" t="s">
        <v>368</v>
      </c>
      <c r="C30" s="28"/>
      <c r="D30" s="36" t="n">
        <f aca="false">IFERROR(AVERAGEIF('7. IPTT'!$B$15:$B$37,"Result 1*",'7. IPTT'!$W$15:$W$37),"")</f>
        <v>0</v>
      </c>
      <c r="E30" s="36"/>
      <c r="F30" s="37" t="n">
        <f aca="false">COUNTIFS('7. IPTT'!$B$15:$B$37,"Result 1*",'7. IPTT'!$W$15:$W$37,"&gt;=0.9")</f>
        <v>0</v>
      </c>
      <c r="G30" s="37"/>
      <c r="H30" s="38" t="n">
        <f aca="false">COUNTIFS('7. IPTT'!$B$15:$B$37,"Result 1*",'7. IPTT'!$W$15:$W$37,"&gt;=0.7",'7. IPTT'!$W$15:$W$37,"&lt;0.9")</f>
        <v>0</v>
      </c>
      <c r="I30" s="38"/>
      <c r="J30" s="39" t="n">
        <f aca="false">COUNTIFS('7. IPTT'!$B$15:$B$37,"Result 1*",'7. IPTT'!$W$15:$W$37,"&lt;0.7")</f>
        <v>8</v>
      </c>
      <c r="K30" s="39"/>
    </row>
    <row r="31" customFormat="false" ht="19.5" hidden="false" customHeight="true" outlineLevel="0" collapsed="false">
      <c r="B31" s="28" t="s">
        <v>369</v>
      </c>
      <c r="C31" s="28"/>
      <c r="D31" s="36" t="str">
        <f aca="false">IFERROR(AVERAGEIF('7. IPTT'!$B$15:$B$37,"Result 2*",'7. IPTT'!$W$15:$W$37),"")</f>
        <v/>
      </c>
      <c r="E31" s="36"/>
      <c r="F31" s="37" t="n">
        <f aca="false">COUNTIFS('7. IPTT'!$B$15:$B$37,"Result 2*",'7. IPTT'!$W$15:$W$37,"&gt;=0.9")</f>
        <v>0</v>
      </c>
      <c r="G31" s="37"/>
      <c r="H31" s="38" t="n">
        <f aca="false">COUNTIFS('7. IPTT'!$B$15:$B$37,"Result 2*",'7. IPTT'!$W$15:$W$37,"&gt;=0.7",'7. IPTT'!$W$15:$W$37,"&lt;0.9")</f>
        <v>0</v>
      </c>
      <c r="I31" s="38"/>
      <c r="J31" s="39" t="n">
        <f aca="false">COUNTIFS('7. IPTT'!$B$15:$B$37,"Result 2*",'7. IPTT'!$W$15:$W$37,"&lt;0.7")</f>
        <v>0</v>
      </c>
      <c r="K31" s="39"/>
    </row>
    <row r="32" customFormat="false" ht="19.5" hidden="false" customHeight="true" outlineLevel="0" collapsed="false">
      <c r="B32" s="28" t="s">
        <v>370</v>
      </c>
      <c r="C32" s="28"/>
      <c r="D32" s="36" t="str">
        <f aca="false">IFERROR(AVERAGEIF('7. IPTT'!$B$15:$B$37,"Specific Objective Indicator*",'7. IPTT'!$W$15:$W$37),"")</f>
        <v/>
      </c>
      <c r="E32" s="36"/>
      <c r="F32" s="37" t="n">
        <f aca="false">COUNTIFS('7. IPTT'!$B$15:$B$37,"Specific Objective Indicator*",'7. IPTT'!$W$15:$W$37,"&gt;=0.9")</f>
        <v>0</v>
      </c>
      <c r="G32" s="37"/>
      <c r="H32" s="38" t="n">
        <f aca="false">COUNTIFS('7. IPTT'!$B$15:$B$37,"Specific Objective Indicator*",'7. IPTT'!$W$15:$W$37,"&gt;=0.7",'7. IPTT'!$W$15:$W$37,"&lt;0.9")</f>
        <v>0</v>
      </c>
      <c r="I32" s="38"/>
      <c r="J32" s="39" t="n">
        <f aca="false">COUNTIFS('7. IPTT'!$B$15:$B$37,"Specific Objective Indicator*",'7. IPTT'!$W$15:$W$37,"&lt;0.7")</f>
        <v>0</v>
      </c>
      <c r="K32" s="39"/>
    </row>
    <row r="34" customFormat="false" ht="15" hidden="false" customHeight="true" outlineLevel="0" collapsed="false">
      <c r="B34" s="13" t="s">
        <v>371</v>
      </c>
      <c r="C34" s="13"/>
      <c r="D34" s="13"/>
      <c r="E34" s="13"/>
      <c r="F34" s="13"/>
      <c r="G34" s="13"/>
      <c r="H34" s="13"/>
      <c r="I34" s="13"/>
      <c r="J34" s="13"/>
      <c r="K34" s="13"/>
    </row>
    <row r="36" customFormat="false" ht="21.75" hidden="false" customHeight="true" outlineLevel="0" collapsed="false">
      <c r="B36" s="9" t="s">
        <v>372</v>
      </c>
      <c r="C36" s="9"/>
      <c r="D36" s="9"/>
      <c r="E36" s="9"/>
      <c r="F36" s="9"/>
      <c r="G36" s="9"/>
      <c r="H36" s="9"/>
      <c r="I36" s="9"/>
      <c r="J36" s="9"/>
      <c r="K36" s="9"/>
    </row>
    <row r="37" customFormat="false" ht="15" hidden="false" customHeight="true" outlineLevel="0" collapsed="false">
      <c r="B37" s="13" t="s">
        <v>373</v>
      </c>
      <c r="C37" s="13"/>
      <c r="D37" s="13"/>
      <c r="E37" s="13"/>
      <c r="F37" s="13"/>
      <c r="G37" s="13"/>
      <c r="H37" s="13"/>
      <c r="I37" s="13"/>
      <c r="J37" s="13"/>
      <c r="K37" s="13"/>
    </row>
    <row r="39" customFormat="false" ht="21.75" hidden="false" customHeight="true" outlineLevel="0" collapsed="false">
      <c r="B39" s="31" t="s">
        <v>374</v>
      </c>
      <c r="C39" s="31"/>
      <c r="D39" s="31"/>
      <c r="E39" s="31"/>
      <c r="F39" s="31"/>
      <c r="G39" s="31" t="s">
        <v>375</v>
      </c>
      <c r="H39" s="31"/>
    </row>
    <row r="40" customFormat="false" ht="19.5" hidden="false" customHeight="true" outlineLevel="0" collapsed="false">
      <c r="B40" s="29" t="s">
        <v>376</v>
      </c>
      <c r="C40" s="29"/>
      <c r="D40" s="29"/>
      <c r="E40" s="29"/>
      <c r="F40" s="29"/>
      <c r="G40" s="28" t="n">
        <f aca="false">SUMPRODUCT((COLUMN('8. Activity Tracker'!N7:U93)-COLUMN('8. Activity Tracker'!N7)+1=('7. IPTT'!$C$3))*(N('8. Activity Tracker'!N7:U93)&gt;0))</f>
        <v>0</v>
      </c>
      <c r="H40" s="28"/>
    </row>
    <row r="41" customFormat="false" ht="19.5" hidden="false" customHeight="true" outlineLevel="0" collapsed="false">
      <c r="B41" s="29" t="s">
        <v>377</v>
      </c>
      <c r="C41" s="29"/>
      <c r="D41" s="29"/>
      <c r="E41" s="29"/>
      <c r="F41" s="29"/>
      <c r="G41" s="28" t="n">
        <f aca="false">COUNTIF('8. Activity Tracker'!AE7:AE93,"Behind")</f>
        <v>0</v>
      </c>
      <c r="H41" s="28"/>
    </row>
    <row r="42" customFormat="false" ht="19.5" hidden="false" customHeight="true" outlineLevel="0" collapsed="false">
      <c r="B42" s="29" t="s">
        <v>378</v>
      </c>
      <c r="C42" s="29"/>
      <c r="D42" s="29"/>
      <c r="E42" s="29"/>
      <c r="F42" s="29"/>
      <c r="G42" s="28" t="n">
        <f aca="false">COUNTIF('10. Activity Data Log'!$AD$7:$AD$46,"Q"&amp;'7. IPTT'!$C$3)</f>
        <v>0</v>
      </c>
      <c r="H42" s="28"/>
    </row>
    <row r="43" customFormat="false" ht="19.5" hidden="false" customHeight="true" outlineLevel="0" collapsed="false">
      <c r="B43" s="29" t="s">
        <v>379</v>
      </c>
      <c r="C43" s="29"/>
      <c r="D43" s="29"/>
      <c r="E43" s="29"/>
      <c r="F43" s="29"/>
      <c r="G43" s="28" t="n">
        <f aca="false">COUNTIF('11. Distribution Log'!$AI$7:$AI$46,"Q"&amp;'7. IPTT'!$C$3)</f>
        <v>0</v>
      </c>
      <c r="H43" s="28"/>
    </row>
    <row r="44" customFormat="false" ht="19.5" hidden="false" customHeight="true" outlineLevel="0" collapsed="false">
      <c r="B44" s="29" t="s">
        <v>380</v>
      </c>
      <c r="C44" s="29"/>
      <c r="D44" s="29"/>
      <c r="E44" s="29"/>
      <c r="F44" s="29"/>
      <c r="G44" s="28" t="n">
        <f aca="false">SUMIF('10. Activity Data Log'!$AD$7:$AD$46,"Q"&amp;'7. IPTT'!$C$3,'10. Activity Data Log'!$U$7:$U$46)</f>
        <v>0</v>
      </c>
      <c r="H44" s="28"/>
    </row>
    <row r="45" customFormat="false" ht="19.5" hidden="false" customHeight="true" outlineLevel="0" collapsed="false">
      <c r="B45" s="29" t="s">
        <v>381</v>
      </c>
      <c r="C45" s="29"/>
      <c r="D45" s="29"/>
      <c r="E45" s="29"/>
      <c r="F45" s="29"/>
      <c r="G45" s="28" t="n">
        <f aca="false">SUMIF('11. Distribution Log'!$AI$7:$AI$46,"Q"&amp;'7. IPTT'!$C$3,'11. Distribution Log'!$W$7:$W$46)</f>
        <v>0</v>
      </c>
      <c r="H45" s="28"/>
    </row>
    <row r="47" customFormat="false" ht="21.75" hidden="false" customHeight="true" outlineLevel="0" collapsed="false">
      <c r="B47" s="9" t="s">
        <v>382</v>
      </c>
      <c r="C47" s="9"/>
      <c r="D47" s="9"/>
      <c r="E47" s="9"/>
      <c r="F47" s="9"/>
      <c r="G47" s="9"/>
      <c r="H47" s="9"/>
      <c r="I47" s="9"/>
      <c r="J47" s="9"/>
      <c r="K47" s="9"/>
    </row>
    <row r="48" customFormat="false" ht="15" hidden="false" customHeight="true" outlineLevel="0" collapsed="false">
      <c r="B48" s="13" t="s">
        <v>383</v>
      </c>
      <c r="C48" s="13"/>
      <c r="D48" s="13"/>
      <c r="E48" s="13"/>
      <c r="F48" s="13"/>
      <c r="G48" s="13"/>
      <c r="H48" s="13"/>
      <c r="I48" s="13"/>
      <c r="J48" s="13"/>
      <c r="K48" s="13"/>
    </row>
    <row r="50" customFormat="false" ht="21.75" hidden="false" customHeight="true" outlineLevel="0" collapsed="false">
      <c r="B50" s="31" t="s">
        <v>374</v>
      </c>
      <c r="C50" s="31"/>
      <c r="D50" s="31"/>
      <c r="E50" s="31" t="s">
        <v>375</v>
      </c>
      <c r="F50" s="31"/>
    </row>
    <row r="51" customFormat="false" ht="19.5" hidden="false" customHeight="true" outlineLevel="0" collapsed="false">
      <c r="B51" s="29" t="s">
        <v>384</v>
      </c>
      <c r="C51" s="29"/>
      <c r="D51" s="29"/>
      <c r="E51" s="40" t="n">
        <f aca="false">'13. Budget Tracker'!E21</f>
        <v>592371.40972028</v>
      </c>
      <c r="F51" s="40"/>
    </row>
    <row r="52" customFormat="false" ht="19.5" hidden="false" customHeight="true" outlineLevel="0" collapsed="false">
      <c r="B52" s="29" t="s">
        <v>385</v>
      </c>
      <c r="C52" s="29"/>
      <c r="D52" s="29"/>
      <c r="E52" s="40" t="n">
        <f aca="false">IFERROR('13. Budget Tracker'!AD21/143,"")</f>
        <v>0</v>
      </c>
      <c r="F52" s="40"/>
    </row>
    <row r="53" customFormat="false" ht="19.5" hidden="false" customHeight="true" outlineLevel="0" collapsed="false">
      <c r="B53" s="29" t="s">
        <v>386</v>
      </c>
      <c r="C53" s="29"/>
      <c r="D53" s="29"/>
      <c r="E53" s="36" t="n">
        <f aca="false">IFERROR('13. Budget Tracker'!AD21/'13. Budget Tracker'!D21,"")</f>
        <v>0</v>
      </c>
      <c r="F53" s="36"/>
    </row>
    <row r="54" customFormat="false" ht="19.5" hidden="false" customHeight="true" outlineLevel="0" collapsed="false">
      <c r="B54" s="29" t="s">
        <v>387</v>
      </c>
      <c r="C54" s="29"/>
      <c r="D54" s="29"/>
      <c r="E54" s="28" t="n">
        <f aca="false">COUNTIF('13c. Budget - Yearly &amp; Total'!$H$6:$H$19,"&lt;0.7")</f>
        <v>13</v>
      </c>
      <c r="F54" s="28"/>
    </row>
    <row r="55" customFormat="false" ht="19.5" hidden="false" customHeight="true" outlineLevel="0" collapsed="false">
      <c r="B55" s="29" t="s">
        <v>388</v>
      </c>
      <c r="C55" s="29"/>
      <c r="D55" s="29"/>
      <c r="E55" s="28" t="n">
        <f aca="false">COUNTIFS('13c. Budget - Yearly &amp; Total'!$H$6:$H$19,"&gt;=0.7",'13c. Budget - Yearly &amp; Total'!$H$6:$H$19,"&lt;=1.1")</f>
        <v>0</v>
      </c>
      <c r="F55" s="28"/>
    </row>
    <row r="56" customFormat="false" ht="19.5" hidden="false" customHeight="true" outlineLevel="0" collapsed="false">
      <c r="B56" s="29" t="s">
        <v>389</v>
      </c>
      <c r="C56" s="29"/>
      <c r="D56" s="29"/>
      <c r="E56" s="28" t="n">
        <f aca="false">COUNTIF('13c. Budget - Yearly &amp; Total'!$H$6:$H$19,"&gt;1.1")</f>
        <v>0</v>
      </c>
      <c r="F56" s="28"/>
    </row>
    <row r="57" customFormat="false" ht="21.75" hidden="false" customHeight="true" outlineLevel="0" collapsed="false">
      <c r="B57" s="9" t="s">
        <v>390</v>
      </c>
      <c r="C57" s="9"/>
      <c r="D57" s="9"/>
      <c r="E57" s="9"/>
      <c r="F57" s="9"/>
      <c r="G57" s="9"/>
      <c r="H57" s="9"/>
      <c r="I57" s="9"/>
      <c r="J57" s="9"/>
      <c r="K57" s="9"/>
    </row>
    <row r="58" customFormat="false" ht="22.35" hidden="false" customHeight="true" outlineLevel="0" collapsed="false">
      <c r="B58" s="13" t="s">
        <v>391</v>
      </c>
      <c r="C58" s="13"/>
      <c r="D58" s="13"/>
      <c r="E58" s="13"/>
      <c r="F58" s="13"/>
      <c r="G58" s="13"/>
      <c r="H58" s="13"/>
      <c r="I58" s="13"/>
      <c r="J58" s="13"/>
      <c r="K58" s="13"/>
    </row>
    <row r="60" customFormat="false" ht="21.75" hidden="false" customHeight="true" outlineLevel="0" collapsed="false">
      <c r="B60" s="31" t="s">
        <v>392</v>
      </c>
      <c r="C60" s="31"/>
      <c r="D60" s="31"/>
      <c r="E60" s="31" t="s">
        <v>393</v>
      </c>
      <c r="F60" s="31"/>
      <c r="G60" s="31" t="s">
        <v>394</v>
      </c>
      <c r="H60" s="31"/>
      <c r="I60" s="31" t="s">
        <v>395</v>
      </c>
      <c r="J60" s="31"/>
    </row>
    <row r="61" customFormat="false" ht="19.5" hidden="false" customHeight="true" outlineLevel="0" collapsed="false">
      <c r="B61" s="29" t="s">
        <v>396</v>
      </c>
      <c r="C61" s="29"/>
      <c r="D61" s="29"/>
      <c r="E61" s="28" t="n">
        <f aca="false">SUM('10. Activity Data Log'!M7:M46,'10. Activity Data Log'!N7:N46,'10. Activity Data Log'!Q7:Q46,'10. Activity Data Log'!R7:R46)</f>
        <v>0</v>
      </c>
      <c r="F61" s="28"/>
      <c r="G61" s="28" t="n">
        <f aca="false">SUM('10. Activity Data Log'!O7:O46,'10. Activity Data Log'!P7:P46,'10. Activity Data Log'!S7:S46,'10. Activity Data Log'!T7:T46)</f>
        <v>0</v>
      </c>
      <c r="H61" s="28"/>
      <c r="I61" s="41" t="n">
        <f aca="false">E61+G61</f>
        <v>0</v>
      </c>
      <c r="J61" s="41"/>
    </row>
    <row r="62" customFormat="false" ht="19.5" hidden="false" customHeight="true" outlineLevel="0" collapsed="false">
      <c r="B62" s="29" t="s">
        <v>397</v>
      </c>
      <c r="C62" s="29"/>
      <c r="D62" s="29"/>
      <c r="E62" s="28" t="n">
        <f aca="false">SUM('11. Distribution Log'!O7:O46,'11. Distribution Log'!P7:P46,'11. Distribution Log'!S7:S46,'11. Distribution Log'!T7:T46)</f>
        <v>0</v>
      </c>
      <c r="F62" s="28"/>
      <c r="G62" s="28" t="n">
        <f aca="false">SUM('11. Distribution Log'!Q7:Q46,'11. Distribution Log'!R7:R46,'11. Distribution Log'!U7:U46,'11. Distribution Log'!V7:V46)</f>
        <v>0</v>
      </c>
      <c r="H62" s="28"/>
      <c r="I62" s="41" t="n">
        <f aca="false">E62+G62</f>
        <v>0</v>
      </c>
      <c r="J62" s="41"/>
    </row>
    <row r="63" customFormat="false" ht="19.5" hidden="false" customHeight="true" outlineLevel="0" collapsed="false">
      <c r="B63" s="42" t="s">
        <v>398</v>
      </c>
      <c r="C63" s="42"/>
      <c r="D63" s="42"/>
      <c r="E63" s="41" t="n">
        <f aca="false">SUM(E61:F62)</f>
        <v>0</v>
      </c>
      <c r="F63" s="41"/>
      <c r="G63" s="41" t="n">
        <f aca="false">SUM(G61:H62)</f>
        <v>0</v>
      </c>
      <c r="H63" s="41"/>
      <c r="I63" s="41" t="n">
        <f aca="false">E63+G63</f>
        <v>0</v>
      </c>
      <c r="J63" s="41"/>
    </row>
    <row r="65" customFormat="false" ht="21.75" hidden="false" customHeight="true" outlineLevel="0" collapsed="false">
      <c r="B65" s="9" t="s">
        <v>399</v>
      </c>
      <c r="C65" s="9"/>
      <c r="D65" s="9"/>
      <c r="E65" s="9"/>
      <c r="F65" s="9"/>
      <c r="G65" s="9"/>
      <c r="H65" s="9"/>
      <c r="I65" s="9"/>
      <c r="J65" s="9"/>
      <c r="K65" s="9"/>
    </row>
    <row r="66" customFormat="false" ht="15" hidden="false" customHeight="true" outlineLevel="0" collapsed="false">
      <c r="B66" s="13" t="s">
        <v>400</v>
      </c>
      <c r="C66" s="13"/>
      <c r="D66" s="13"/>
      <c r="E66" s="13"/>
      <c r="F66" s="13"/>
      <c r="G66" s="13"/>
      <c r="H66" s="13"/>
      <c r="I66" s="13"/>
      <c r="J66" s="13"/>
      <c r="K66" s="13"/>
    </row>
    <row r="68" customFormat="false" ht="19.5" hidden="false" customHeight="true" outlineLevel="0" collapsed="false">
      <c r="B68" s="31" t="s">
        <v>401</v>
      </c>
      <c r="C68" s="31"/>
      <c r="D68" s="31" t="s">
        <v>402</v>
      </c>
      <c r="E68" s="31"/>
      <c r="F68" s="31"/>
      <c r="G68" s="31"/>
      <c r="H68" s="15" t="s">
        <v>403</v>
      </c>
      <c r="I68" s="15" t="s">
        <v>404</v>
      </c>
      <c r="J68" s="15" t="s">
        <v>405</v>
      </c>
      <c r="K68" s="15" t="s">
        <v>406</v>
      </c>
    </row>
    <row r="69" customFormat="false" ht="18" hidden="false" customHeight="true" outlineLevel="0" collapsed="false">
      <c r="B69" s="29" t="str">
        <f aca="false">'7. IPTT'!$C$16</f>
        <v>R1-I1</v>
      </c>
      <c r="C69" s="29"/>
      <c r="D69" s="29" t="str">
        <f aca="false">'7. IPTT'!$F$16</f>
        <v>Number of targeted girls and boys enrolled in non-formal education services</v>
      </c>
      <c r="E69" s="29"/>
      <c r="F69" s="29"/>
      <c r="G69" s="29"/>
      <c r="H69" s="16" t="str">
        <f aca="false">'7. IPTT'!$N$16</f>
        <v>Number</v>
      </c>
      <c r="I69" s="16" t="n">
        <f aca="false">IFERROR(LOOKUP(2,1/('7. IPTT'!$O$16:$V$16&lt;&gt;""),'7. IPTT'!$O$16:$V$16),"")</f>
        <v>0</v>
      </c>
      <c r="J69" s="16" t="n">
        <f aca="false">IF('7. IPTT'!$M$16="N/A","N/A",'7. IPTT'!$M$16)</f>
        <v>1224</v>
      </c>
      <c r="K69" s="43" t="str">
        <f aca="false">IF('7. IPTT'!$W$16="","No data yet",IF('7. IPTT'!$W$16&gt;=0.9,TEXT('7. IPTT'!$W$16,"0%")&amp;" - On Track",IF('7. IPTT'!$W$16&gt;=0.7,TEXT('7. IPTT'!$W$16,"0%")&amp;" - Watch",TEXT('7. IPTT'!$W$16,"0%")&amp;" - At Risk")))</f>
        <v>0% - At Risk</v>
      </c>
    </row>
    <row r="70" customFormat="false" ht="18" hidden="false" customHeight="true" outlineLevel="0" collapsed="false">
      <c r="B70" s="29" t="str">
        <f aca="false">'7. IPTT'!$C$17</f>
        <v>R1-I2</v>
      </c>
      <c r="C70" s="29"/>
      <c r="D70" s="29" t="str">
        <f aca="false">'7. IPTT'!$F$17</f>
        <v>Number of learning spaces established or restored to minimum standards for safe learning</v>
      </c>
      <c r="E70" s="29"/>
      <c r="F70" s="29"/>
      <c r="G70" s="29"/>
      <c r="H70" s="16" t="str">
        <f aca="false">'7. IPTT'!$N$17</f>
        <v>Number</v>
      </c>
      <c r="I70" s="16" t="n">
        <f aca="false">IFERROR(LOOKUP(2,1/('7. IPTT'!$O$17:$V$17&lt;&gt;""),'7. IPTT'!$O$17:$V$17),"")</f>
        <v>0</v>
      </c>
      <c r="J70" s="16" t="n">
        <f aca="false">IF('7. IPTT'!$M$17="N/A","N/A",'7. IPTT'!$M$17)</f>
        <v>51</v>
      </c>
      <c r="K70" s="43" t="str">
        <f aca="false">IF('7. IPTT'!$W$17="","No data yet",IF('7. IPTT'!$W$17&gt;=0.9,TEXT('7. IPTT'!$W$17,"0%")&amp;" - On Track",IF('7. IPTT'!$W$17&gt;=0.7,TEXT('7. IPTT'!$W$17,"0%")&amp;" - Watch",TEXT('7. IPTT'!$W$17,"0%")&amp;" - At Risk")))</f>
        <v>0% - At Risk</v>
      </c>
    </row>
    <row r="71" customFormat="false" ht="18" hidden="false" customHeight="true" outlineLevel="0" collapsed="false">
      <c r="B71" s="29" t="str">
        <f aca="false">'7. IPTT'!$C$18</f>
        <v>R1-I3</v>
      </c>
      <c r="C71" s="29"/>
      <c r="D71" s="29" t="str">
        <f aca="false">'7. IPTT'!$F$18</f>
        <v>Number of teachers provided with teaching aids/materials</v>
      </c>
      <c r="E71" s="29"/>
      <c r="F71" s="29"/>
      <c r="G71" s="29"/>
      <c r="H71" s="16" t="str">
        <f aca="false">'7. IPTT'!$N$18</f>
        <v>Number</v>
      </c>
      <c r="I71" s="16" t="n">
        <f aca="false">IFERROR(LOOKUP(2,1/('7. IPTT'!$O$18:$V$18&lt;&gt;""),'7. IPTT'!$O$18:$V$18),"")</f>
        <v>0</v>
      </c>
      <c r="J71" s="16" t="n">
        <f aca="false">IF('7. IPTT'!$M$18="N/A","N/A",'7. IPTT'!$M$18)</f>
        <v>68</v>
      </c>
      <c r="K71" s="43" t="str">
        <f aca="false">IF('7. IPTT'!$W$18="","No data yet",IF('7. IPTT'!$W$18&gt;=0.9,TEXT('7. IPTT'!$W$18,"0%")&amp;" - On Track",IF('7. IPTT'!$W$18&gt;=0.7,TEXT('7. IPTT'!$W$18,"0%")&amp;" - Watch",TEXT('7. IPTT'!$W$18,"0%")&amp;" - At Risk")))</f>
        <v>0% - At Risk</v>
      </c>
    </row>
    <row r="72" customFormat="false" ht="18" hidden="false" customHeight="true" outlineLevel="0" collapsed="false">
      <c r="B72" s="29" t="str">
        <f aca="false">'7. IPTT'!$C$19</f>
        <v>R1-I4</v>
      </c>
      <c r="C72" s="29"/>
      <c r="D72" s="29" t="str">
        <f aca="false">'7. IPTT'!$F$19</f>
        <v>Number of girls and boys provided with learning materials</v>
      </c>
      <c r="E72" s="29"/>
      <c r="F72" s="29"/>
      <c r="G72" s="29"/>
      <c r="H72" s="16" t="str">
        <f aca="false">'7. IPTT'!$N$19</f>
        <v>Number</v>
      </c>
      <c r="I72" s="16" t="n">
        <f aca="false">IFERROR(LOOKUP(2,1/('7. IPTT'!$O$19:$V$19&lt;&gt;""),'7. IPTT'!$O$19:$V$19),"")</f>
        <v>0</v>
      </c>
      <c r="J72" s="16" t="n">
        <f aca="false">IF('7. IPTT'!$M$19="N/A","N/A",'7. IPTT'!$M$19)</f>
        <v>1224</v>
      </c>
      <c r="K72" s="43" t="str">
        <f aca="false">IF('7. IPTT'!$W$19="","No data yet",IF('7. IPTT'!$W$19&gt;=0.9,TEXT('7. IPTT'!$W$19,"0%")&amp;" - On Track",IF('7. IPTT'!$W$19&gt;=0.7,TEXT('7. IPTT'!$W$19,"0%")&amp;" - Watch",TEXT('7. IPTT'!$W$19,"0%")&amp;" - At Risk")))</f>
        <v>0% - At Risk</v>
      </c>
    </row>
    <row r="73" customFormat="false" ht="18" hidden="false" customHeight="true" outlineLevel="0" collapsed="false">
      <c r="B73" s="29" t="str">
        <f aca="false">'7. IPTT'!$C$20</f>
        <v>R1-I5</v>
      </c>
      <c r="C73" s="29"/>
      <c r="D73" s="29" t="str">
        <f aca="false">'7. IPTT'!$F$20</f>
        <v>Number of teachers/education personnel showing increased knowledge and teaching skills to address children's learning needs</v>
      </c>
      <c r="E73" s="29"/>
      <c r="F73" s="29"/>
      <c r="G73" s="29"/>
      <c r="H73" s="16" t="str">
        <f aca="false">'7. IPTT'!$N$20</f>
        <v>Number</v>
      </c>
      <c r="I73" s="16" t="n">
        <f aca="false">IFERROR(LOOKUP(2,1/('7. IPTT'!$O$20:$V$20&lt;&gt;""),'7. IPTT'!$O$20:$V$20),"")</f>
        <v>0</v>
      </c>
      <c r="J73" s="16" t="n">
        <f aca="false">IF('7. IPTT'!$M$20="N/A","N/A",'7. IPTT'!$M$20)</f>
        <v>68</v>
      </c>
      <c r="K73" s="43" t="str">
        <f aca="false">IF('7. IPTT'!$W$20="","No data yet",IF('7. IPTT'!$W$20&gt;=0.9,TEXT('7. IPTT'!$W$20,"0%")&amp;" - On Track",IF('7. IPTT'!$W$20&gt;=0.7,TEXT('7. IPTT'!$W$20,"0%")&amp;" - Watch",TEXT('7. IPTT'!$W$20,"0%")&amp;" - At Risk")))</f>
        <v>0% - At Risk</v>
      </c>
    </row>
    <row r="74" customFormat="false" ht="18" hidden="false" customHeight="true" outlineLevel="0" collapsed="false">
      <c r="B74" s="29" t="str">
        <f aca="false">'7. IPTT'!$C$21</f>
        <v>R1-I6</v>
      </c>
      <c r="C74" s="29"/>
      <c r="D74" s="29" t="str">
        <f aca="false">'7. IPTT'!$F$21</f>
        <v>Number of students, teachers and other education personnel provided with psycho-social support services</v>
      </c>
      <c r="E74" s="29"/>
      <c r="F74" s="29"/>
      <c r="G74" s="29"/>
      <c r="H74" s="16" t="str">
        <f aca="false">'7. IPTT'!$N$21</f>
        <v>Number</v>
      </c>
      <c r="I74" s="16" t="n">
        <f aca="false">IFERROR(LOOKUP(2,1/('7. IPTT'!$O$21:$V$21&lt;&gt;""),'7. IPTT'!$O$21:$V$21),"")</f>
        <v>0</v>
      </c>
      <c r="J74" s="16" t="n">
        <f aca="false">IF('7. IPTT'!$M$21="N/A","N/A",'7. IPTT'!$M$21)</f>
        <v>2516</v>
      </c>
      <c r="K74" s="43" t="str">
        <f aca="false">IF('7. IPTT'!$W$21="","No data yet",IF('7. IPTT'!$W$21&gt;=0.9,TEXT('7. IPTT'!$W$21,"0%")&amp;" - On Track",IF('7. IPTT'!$W$21&gt;=0.7,TEXT('7. IPTT'!$W$21,"0%")&amp;" - Watch",TEXT('7. IPTT'!$W$21,"0%")&amp;" - At Risk")))</f>
        <v>0% - At Risk</v>
      </c>
    </row>
    <row r="75" customFormat="false" ht="18" hidden="false" customHeight="true" outlineLevel="0" collapsed="false">
      <c r="B75" s="29" t="str">
        <f aca="false">'7. IPTT'!$C$22</f>
        <v>R1-I7</v>
      </c>
      <c r="C75" s="29"/>
      <c r="D75" s="29" t="str">
        <f aca="false">'7. IPTT'!$F$22</f>
        <v>Number of teachers and other education personnel showing increased knowledge and skills to address the protection needs of girls and boys</v>
      </c>
      <c r="E75" s="29"/>
      <c r="F75" s="29"/>
      <c r="G75" s="29"/>
      <c r="H75" s="16" t="str">
        <f aca="false">'7. IPTT'!$N$22</f>
        <v>Number</v>
      </c>
      <c r="I75" s="16" t="n">
        <f aca="false">IFERROR(LOOKUP(2,1/('7. IPTT'!$O$22:$V$22&lt;&gt;""),'7. IPTT'!$O$22:$V$22),"")</f>
        <v>0</v>
      </c>
      <c r="J75" s="16" t="n">
        <f aca="false">IF('7. IPTT'!$M$22="N/A","N/A",'7. IPTT'!$M$22)</f>
        <v>68</v>
      </c>
      <c r="K75" s="43" t="str">
        <f aca="false">IF('7. IPTT'!$W$22="","No data yet",IF('7. IPTT'!$W$22&gt;=0.9,TEXT('7. IPTT'!$W$22,"0%")&amp;" - On Track",IF('7. IPTT'!$W$22&gt;=0.7,TEXT('7. IPTT'!$W$22,"0%")&amp;" - Watch",TEXT('7. IPTT'!$W$22,"0%")&amp;" - At Risk")))</f>
        <v>0% - At Risk</v>
      </c>
    </row>
    <row r="76" customFormat="false" ht="18" hidden="false" customHeight="true" outlineLevel="0" collapsed="false">
      <c r="B76" s="29" t="str">
        <f aca="false">'7. IPTT'!$C$23</f>
        <v>R1-I8</v>
      </c>
      <c r="C76" s="29"/>
      <c r="D76" s="29" t="str">
        <f aca="false">'7. IPTT'!$F$23</f>
        <v>Number of girls and boys referred to specialised services (e.g. child protection, health, MHPSS)</v>
      </c>
      <c r="E76" s="29"/>
      <c r="F76" s="29"/>
      <c r="G76" s="29"/>
      <c r="H76" s="16" t="str">
        <f aca="false">'7. IPTT'!$N$23</f>
        <v>Number</v>
      </c>
      <c r="I76" s="16" t="n">
        <f aca="false">IFERROR(LOOKUP(2,1/('7. IPTT'!$O$23:$V$23&lt;&gt;""),'7. IPTT'!$O$23:$V$23),"")</f>
        <v>0</v>
      </c>
      <c r="J76" s="16" t="n">
        <f aca="false">IF('7. IPTT'!$M$23="N/A","N/A",'7. IPTT'!$M$23)</f>
        <v>122</v>
      </c>
      <c r="K76" s="43" t="str">
        <f aca="false">IF('7. IPTT'!$W$23="","No data yet",IF('7. IPTT'!$W$23&gt;=0.9,TEXT('7. IPTT'!$W$23,"0%")&amp;" - On Track",IF('7. IPTT'!$W$23&gt;=0.7,TEXT('7. IPTT'!$W$23,"0%")&amp;" - Watch",TEXT('7. IPTT'!$W$23,"0%")&amp;" - At Risk")))</f>
        <v>0% - At Risk</v>
      </c>
    </row>
    <row r="77" customFormat="false" ht="18" hidden="false" customHeight="true" outlineLevel="0" collapsed="false">
      <c r="B77" s="29" t="str">
        <f aca="false">'7. IPTT'!$C$24</f>
        <v>R1-I9</v>
      </c>
      <c r="C77" s="29"/>
      <c r="D77" s="29" t="str">
        <f aca="false">'7. IPTT'!$F$24</f>
        <v>% educational facilities that are carrying out environmental and climate friendly activities day-to-day</v>
      </c>
      <c r="E77" s="29"/>
      <c r="F77" s="29"/>
      <c r="G77" s="29"/>
      <c r="H77" s="16" t="str">
        <f aca="false">'7. IPTT'!$N$24</f>
        <v>%</v>
      </c>
      <c r="I77" s="16" t="str">
        <f aca="false">IFERROR(LOOKUP(2,1/('7. IPTT'!$O$24:$V$24&lt;&gt;""),'7. IPTT'!$O$24:$V$24),"")</f>
        <v/>
      </c>
      <c r="J77" s="44" t="n">
        <f aca="false">IF('7. IPTT'!$M$24="N/A","N/A",'7. IPTT'!$M$24)</f>
        <v>0.65</v>
      </c>
      <c r="K77" s="43" t="str">
        <f aca="false">IF('7. IPTT'!$W$24="","No data yet",IF('7. IPTT'!$W$24&gt;=0.9,TEXT('7. IPTT'!$W$24,"0%")&amp;" - On Track",IF('7. IPTT'!$W$24&gt;=0.7,TEXT('7. IPTT'!$W$24,"0%")&amp;" - Watch",TEXT('7. IPTT'!$W$24,"0%")&amp;" - At Risk")))</f>
        <v>No data yet</v>
      </c>
    </row>
    <row r="78" customFormat="false" ht="18" hidden="false" customHeight="true" outlineLevel="0" collapsed="false">
      <c r="B78" s="29" t="str">
        <f aca="false">'7. IPTT'!$C$26</f>
        <v>R2-I1</v>
      </c>
      <c r="C78" s="29"/>
      <c r="D78" s="29" t="str">
        <f aca="false">'7. IPTT'!$F$26</f>
        <v>(MANDATORY) % of children and caregivers whose urgent child protection needs/risks have been addressed through the case management process</v>
      </c>
      <c r="E78" s="29"/>
      <c r="F78" s="29"/>
      <c r="G78" s="29"/>
      <c r="H78" s="16" t="str">
        <f aca="false">'7. IPTT'!$N$26</f>
        <v>%</v>
      </c>
      <c r="I78" s="16" t="str">
        <f aca="false">IFERROR(LOOKUP(2,1/('7. IPTT'!$O$26:$V$26&lt;&gt;""),'7. IPTT'!$O$26:$V$26),"")</f>
        <v/>
      </c>
      <c r="J78" s="44" t="n">
        <f aca="false">IF('7. IPTT'!$M$26="N/A","N/A",'7. IPTT'!$M$26)</f>
        <v>0.95</v>
      </c>
      <c r="K78" s="43" t="str">
        <f aca="false">IF('7. IPTT'!$W$26="","No data yet",IF('7. IPTT'!$W$26&gt;=0.9,TEXT('7. IPTT'!$W$26,"0%")&amp;" - On Track",IF('7. IPTT'!$W$26&gt;=0.7,TEXT('7. IPTT'!$W$26,"0%")&amp;" - Watch",TEXT('7. IPTT'!$W$26,"0%")&amp;" - At Risk")))</f>
        <v>No data yet</v>
      </c>
    </row>
    <row r="79" customFormat="false" ht="18" hidden="false" customHeight="true" outlineLevel="0" collapsed="false">
      <c r="B79" s="29" t="str">
        <f aca="false">'7. IPTT'!$C$27</f>
        <v>R2-I2</v>
      </c>
      <c r="C79" s="29"/>
      <c r="D79" s="29" t="str">
        <f aca="false">'7. IPTT'!$F$27</f>
        <v>% of children separated from or allegedly associated with armed groups and armed forces who benefit from appropriate care and services</v>
      </c>
      <c r="E79" s="29"/>
      <c r="F79" s="29"/>
      <c r="G79" s="29"/>
      <c r="H79" s="16" t="str">
        <f aca="false">'7. IPTT'!$N$27</f>
        <v>%</v>
      </c>
      <c r="I79" s="16" t="str">
        <f aca="false">IFERROR(LOOKUP(2,1/('7. IPTT'!$O$27:$V$27&lt;&gt;""),'7. IPTT'!$O$27:$V$27),"")</f>
        <v/>
      </c>
      <c r="J79" s="44" t="n">
        <f aca="false">IF('7. IPTT'!$M$27="N/A","N/A",'7. IPTT'!$M$27)</f>
        <v>0.8</v>
      </c>
      <c r="K79" s="43" t="str">
        <f aca="false">IF('7. IPTT'!$W$27="","No data yet",IF('7. IPTT'!$W$27&gt;=0.9,TEXT('7. IPTT'!$W$27,"0%")&amp;" - On Track",IF('7. IPTT'!$W$27&gt;=0.7,TEXT('7. IPTT'!$W$27,"0%")&amp;" - Watch",TEXT('7. IPTT'!$W$27,"0%")&amp;" - At Risk")))</f>
        <v>No data yet</v>
      </c>
    </row>
    <row r="80" customFormat="false" ht="18" hidden="false" customHeight="true" outlineLevel="0" collapsed="false">
      <c r="B80" s="29" t="str">
        <f aca="false">'7. IPTT'!$C$28</f>
        <v>R2-I3</v>
      </c>
      <c r="C80" s="29"/>
      <c r="D80" s="29" t="str">
        <f aca="false">'7. IPTT'!$F$28</f>
        <v>Average % knowledge increase amongst participants on the protection subject in focus</v>
      </c>
      <c r="E80" s="29"/>
      <c r="F80" s="29"/>
      <c r="G80" s="29"/>
      <c r="H80" s="16" t="str">
        <f aca="false">'7. IPTT'!$N$28</f>
        <v>%</v>
      </c>
      <c r="I80" s="16" t="str">
        <f aca="false">IFERROR(LOOKUP(2,1/('7. IPTT'!$O$28:$V$28&lt;&gt;""),'7. IPTT'!$O$28:$V$28),"")</f>
        <v/>
      </c>
      <c r="J80" s="44" t="n">
        <f aca="false">IF('7. IPTT'!$M$28="N/A","N/A",'7. IPTT'!$M$28)</f>
        <v>0.8</v>
      </c>
      <c r="K80" s="43" t="str">
        <f aca="false">IF('7. IPTT'!$W$28="","No data yet",IF('7. IPTT'!$W$28&gt;=0.9,TEXT('7. IPTT'!$W$28,"0%")&amp;" - On Track",IF('7. IPTT'!$W$28&gt;=0.7,TEXT('7. IPTT'!$W$28,"0%")&amp;" - Watch",TEXT('7. IPTT'!$W$28,"0%")&amp;" - At Risk")))</f>
        <v>No data yet</v>
      </c>
    </row>
    <row r="81" customFormat="false" ht="18" hidden="false" customHeight="true" outlineLevel="0" collapsed="false">
      <c r="B81" s="29" t="str">
        <f aca="false">'7. IPTT'!$C$29</f>
        <v>R2-I4</v>
      </c>
      <c r="C81" s="29"/>
      <c r="D81" s="29" t="str">
        <f aca="false">'7. IPTT'!$F$29</f>
        <v>(MANDATORY) % of persons who receive appropriate PSS reporting improved mental health and psychosocial well-being OR capacities to cope</v>
      </c>
      <c r="E81" s="29"/>
      <c r="F81" s="29"/>
      <c r="G81" s="29"/>
      <c r="H81" s="16" t="str">
        <f aca="false">'7. IPTT'!$N$29</f>
        <v>%</v>
      </c>
      <c r="I81" s="16" t="str">
        <f aca="false">IFERROR(LOOKUP(2,1/('7. IPTT'!$O$29:$V$29&lt;&gt;""),'7. IPTT'!$O$29:$V$29),"")</f>
        <v/>
      </c>
      <c r="J81" s="44" t="n">
        <f aca="false">IF('7. IPTT'!$M$29="N/A","N/A",'7. IPTT'!$M$29)</f>
        <v>0.8</v>
      </c>
      <c r="K81" s="43" t="str">
        <f aca="false">IF('7. IPTT'!$W$29="","No data yet",IF('7. IPTT'!$W$29&gt;=0.9,TEXT('7. IPTT'!$W$29,"0%")&amp;" - On Track",IF('7. IPTT'!$W$29&gt;=0.7,TEXT('7. IPTT'!$W$29,"0%")&amp;" - Watch",TEXT('7. IPTT'!$W$29,"0%")&amp;" - At Risk")))</f>
        <v>No data yet</v>
      </c>
    </row>
    <row r="82" customFormat="false" ht="18" hidden="false" customHeight="true" outlineLevel="0" collapsed="false">
      <c r="B82" s="29" t="str">
        <f aca="false">'7. IPTT'!$C$30</f>
        <v>R2-I5</v>
      </c>
      <c r="C82" s="29"/>
      <c r="D82" s="29" t="str">
        <f aca="false">'7. IPTT'!$F$30</f>
        <v>% of caseworkers whose knowledge assessment score is at least 70%</v>
      </c>
      <c r="E82" s="29"/>
      <c r="F82" s="29"/>
      <c r="G82" s="29"/>
      <c r="H82" s="16" t="str">
        <f aca="false">'7. IPTT'!$N$30</f>
        <v>%</v>
      </c>
      <c r="I82" s="16" t="str">
        <f aca="false">IFERROR(LOOKUP(2,1/('7. IPTT'!$O$30:$V$30&lt;&gt;""),'7. IPTT'!$O$30:$V$30),"")</f>
        <v/>
      </c>
      <c r="J82" s="44" t="n">
        <f aca="false">IF('7. IPTT'!$M$30="N/A","N/A",'7. IPTT'!$M$30)</f>
        <v>0.75</v>
      </c>
      <c r="K82" s="43" t="str">
        <f aca="false">IF('7. IPTT'!$W$30="","No data yet",IF('7. IPTT'!$W$30&gt;=0.9,TEXT('7. IPTT'!$W$30,"0%")&amp;" - On Track",IF('7. IPTT'!$W$30&gt;=0.7,TEXT('7. IPTT'!$W$30,"0%")&amp;" - Watch",TEXT('7. IPTT'!$W$30,"0%")&amp;" - At Risk")))</f>
        <v>No data yet</v>
      </c>
    </row>
    <row r="83" customFormat="false" ht="18" hidden="false" customHeight="true" outlineLevel="0" collapsed="false">
      <c r="B83" s="29" t="str">
        <f aca="false">'7. IPTT'!$C$32</f>
        <v>R2-Ref1</v>
      </c>
      <c r="C83" s="29"/>
      <c r="D83" s="29" t="str">
        <f aca="false">'7. IPTT'!$F$32</f>
        <v>(MANDATORY) Number of minimum standards for care for survivors achieved</v>
      </c>
      <c r="E83" s="29"/>
      <c r="F83" s="29"/>
      <c r="G83" s="29"/>
      <c r="H83" s="16" t="str">
        <f aca="false">'7. IPTT'!$N$32</f>
        <v>Number</v>
      </c>
      <c r="I83" s="16" t="n">
        <f aca="false">IFERROR(LOOKUP(2,1/('7. IPTT'!$O$32:$V$32&lt;&gt;""),'7. IPTT'!$O$32:$V$32),"")</f>
        <v>0</v>
      </c>
      <c r="J83" s="16" t="str">
        <f aca="false">IF('7. IPTT'!$M$32="N/A","N/A",'7. IPTT'!$M$32)</f>
        <v>N/A</v>
      </c>
      <c r="K83" s="43" t="str">
        <f aca="false">IF('7. IPTT'!$W$32="","No data yet",IF('7. IPTT'!$W$32&gt;=0.9,TEXT('7. IPTT'!$W$32,"0%")&amp;" - On Track",IF('7. IPTT'!$W$32&gt;=0.7,TEXT('7. IPTT'!$W$32,"0%")&amp;" - Watch",TEXT('7. IPTT'!$W$32,"0%")&amp;" - At Risk")))</f>
        <v>N/A - On Track</v>
      </c>
    </row>
    <row r="84" customFormat="false" ht="18" hidden="false" customHeight="true" outlineLevel="0" collapsed="false">
      <c r="B84" s="29" t="str">
        <f aca="false">'7. IPTT'!$C$33</f>
        <v>R2-Ref2</v>
      </c>
      <c r="C84" s="29"/>
      <c r="D84" s="29" t="str">
        <f aca="false">'7. IPTT'!$F$33</f>
        <v>Number of individuals benefiting from GBV response services (SC-led, R2-A2)</v>
      </c>
      <c r="E84" s="29"/>
      <c r="F84" s="29"/>
      <c r="G84" s="29"/>
      <c r="H84" s="16" t="str">
        <f aca="false">'7. IPTT'!$N$33</f>
        <v>%</v>
      </c>
      <c r="I84" s="16" t="str">
        <f aca="false">IFERROR(LOOKUP(2,1/('7. IPTT'!$O$33:$V$33&lt;&gt;""),'7. IPTT'!$O$33:$V$33),"")</f>
        <v>N/A</v>
      </c>
      <c r="J84" s="16" t="str">
        <f aca="false">IF('7. IPTT'!$M$33="N/A","N/A",'7. IPTT'!$M$33)</f>
        <v>N/A</v>
      </c>
      <c r="K84" s="43" t="str">
        <f aca="false">IF('7. IPTT'!$W$33="","No data yet",IF('7. IPTT'!$W$33&gt;=0.9,TEXT('7. IPTT'!$W$33,"0%")&amp;" - On Track",IF('7. IPTT'!$W$33&gt;=0.7,TEXT('7. IPTT'!$W$33,"0%")&amp;" - Watch",TEXT('7. IPTT'!$W$33,"0%")&amp;" - At Risk")))</f>
        <v>N/A - On Track</v>
      </c>
    </row>
    <row r="85" customFormat="false" ht="18" hidden="false" customHeight="true" outlineLevel="0" collapsed="false">
      <c r="B85" s="29" t="str">
        <f aca="false">'7. IPTT'!$C$34</f>
        <v>R2-Ref3</v>
      </c>
      <c r="C85" s="29"/>
      <c r="D85" s="29" t="str">
        <f aca="false">'7. IPTT'!$F$34</f>
        <v>% of GBV high-risk cases supervised (SC-led, R2-A2)</v>
      </c>
      <c r="E85" s="29"/>
      <c r="F85" s="29"/>
      <c r="G85" s="29"/>
      <c r="H85" s="16" t="str">
        <f aca="false">'7. IPTT'!$N$34</f>
        <v>%</v>
      </c>
      <c r="I85" s="16" t="str">
        <f aca="false">IFERROR(LOOKUP(2,1/('7. IPTT'!$O$34:$V$34&lt;&gt;""),'7. IPTT'!$O$34:$V$34),"")</f>
        <v>N/A</v>
      </c>
      <c r="J85" s="16" t="str">
        <f aca="false">IF('7. IPTT'!$M$34="N/A","N/A",'7. IPTT'!$M$34)</f>
        <v>N/A</v>
      </c>
      <c r="K85" s="43" t="str">
        <f aca="false">IF('7. IPTT'!$W$34="","No data yet",IF('7. IPTT'!$W$34&gt;=0.9,TEXT('7. IPTT'!$W$34,"0%")&amp;" - On Track",IF('7. IPTT'!$W$34&gt;=0.7,TEXT('7. IPTT'!$W$34,"0%")&amp;" - Watch",TEXT('7. IPTT'!$W$34,"0%")&amp;" - At Risk")))</f>
        <v>N/A - On Track</v>
      </c>
    </row>
    <row r="86" customFormat="false" ht="18" hidden="false" customHeight="true" outlineLevel="0" collapsed="false">
      <c r="B86" s="29" t="str">
        <f aca="false">'7. IPTT'!$C$36</f>
        <v>SO-I1</v>
      </c>
      <c r="C86" s="29"/>
      <c r="D86" s="29" t="str">
        <f aca="false">'7. IPTT'!$F$36</f>
        <v>% of beneficiaries reporting that humanitarian assistance is delivered in a safe, accessible, accountable and participatory manner</v>
      </c>
      <c r="E86" s="29"/>
      <c r="F86" s="29"/>
      <c r="G86" s="29"/>
      <c r="H86" s="16" t="str">
        <f aca="false">'7. IPTT'!$N$36</f>
        <v>%</v>
      </c>
      <c r="I86" s="16" t="str">
        <f aca="false">IFERROR(LOOKUP(2,1/('7. IPTT'!$O$36:$V$36&lt;&gt;""),'7. IPTT'!$O$36:$V$36),"")</f>
        <v/>
      </c>
      <c r="J86" s="44" t="n">
        <f aca="false">IF('7. IPTT'!$M$36="N/A","N/A",'7. IPTT'!$M$36)</f>
        <v>0.85</v>
      </c>
      <c r="K86" s="43" t="str">
        <f aca="false">IF('7. IPTT'!$W$36="","No data yet",IF('7. IPTT'!$W$36&gt;=0.9,TEXT('7. IPTT'!$W$36,"0%")&amp;" - On Track",IF('7. IPTT'!$W$36&gt;=0.7,TEXT('7. IPTT'!$W$36,"0%")&amp;" - Watch",TEXT('7. IPTT'!$W$36,"0%")&amp;" - At Risk")))</f>
        <v>No data yet</v>
      </c>
    </row>
    <row r="87" customFormat="false" ht="18" hidden="false" customHeight="true" outlineLevel="0" collapsed="false">
      <c r="B87" s="29" t="str">
        <f aca="false">'7. IPTT'!$C$37</f>
        <v>SO-I2</v>
      </c>
      <c r="C87" s="29"/>
      <c r="D87" s="29" t="str">
        <f aca="false">'7. IPTT'!$F$37</f>
        <v>% targeted girls and boys who are retained in education at the end of the action</v>
      </c>
      <c r="E87" s="29"/>
      <c r="F87" s="29"/>
      <c r="G87" s="29"/>
      <c r="H87" s="16" t="str">
        <f aca="false">'7. IPTT'!$N$37</f>
        <v>%</v>
      </c>
      <c r="I87" s="16" t="str">
        <f aca="false">IFERROR(LOOKUP(2,1/('7. IPTT'!$O$37:$V$37&lt;&gt;""),'7. IPTT'!$O$37:$V$37),"")</f>
        <v/>
      </c>
      <c r="J87" s="44" t="n">
        <f aca="false">IF('7. IPTT'!$M$37="N/A","N/A",'7. IPTT'!$M$37)</f>
        <v>0.9</v>
      </c>
      <c r="K87" s="43" t="str">
        <f aca="false">IF('7. IPTT'!$W$37="","No data yet",IF('7. IPTT'!$W$37&gt;=0.9,TEXT('7. IPTT'!$W$37,"0%")&amp;" - On Track",IF('7. IPTT'!$W$37&gt;=0.7,TEXT('7. IPTT'!$W$37,"0%")&amp;" - Watch",TEXT('7. IPTT'!$W$37,"0%")&amp;" - At Risk")))</f>
        <v>No data yet</v>
      </c>
    </row>
    <row r="89" customFormat="false" ht="21.75" hidden="false" customHeight="true" outlineLevel="0" collapsed="false">
      <c r="B89" s="9" t="s">
        <v>407</v>
      </c>
      <c r="C89" s="9"/>
      <c r="D89" s="9"/>
      <c r="E89" s="9"/>
      <c r="F89" s="9"/>
      <c r="G89" s="9"/>
      <c r="H89" s="9"/>
      <c r="I89" s="9"/>
      <c r="J89" s="9"/>
      <c r="K89" s="9"/>
    </row>
    <row r="90" customFormat="false" ht="22.35" hidden="false" customHeight="true" outlineLevel="0" collapsed="false">
      <c r="B90" s="13" t="s">
        <v>408</v>
      </c>
      <c r="C90" s="13"/>
      <c r="D90" s="13"/>
      <c r="E90" s="13"/>
      <c r="F90" s="13"/>
      <c r="G90" s="13"/>
      <c r="H90" s="13"/>
      <c r="I90" s="13"/>
      <c r="J90" s="13"/>
      <c r="K90" s="13"/>
    </row>
    <row r="92" customFormat="false" ht="19.5" hidden="false" customHeight="true" outlineLevel="0" collapsed="false">
      <c r="B92" s="31" t="s">
        <v>409</v>
      </c>
      <c r="C92" s="31"/>
      <c r="D92" s="31"/>
      <c r="E92" s="31" t="s">
        <v>410</v>
      </c>
      <c r="F92" s="31"/>
      <c r="G92" s="31" t="s">
        <v>411</v>
      </c>
      <c r="H92" s="31"/>
      <c r="I92" s="15" t="s">
        <v>412</v>
      </c>
      <c r="J92" s="31" t="s">
        <v>413</v>
      </c>
      <c r="K92" s="31"/>
    </row>
    <row r="93" customFormat="false" ht="18" hidden="false" customHeight="true" outlineLevel="0" collapsed="false">
      <c r="B93" s="29" t="str">
        <f aca="false">'13c. Budget - Yearly &amp; Total'!$C$6</f>
        <v>Identification, assessment and appropriate placement of out-of-school and dropout children, incl. disability screening (min. 3% target)</v>
      </c>
      <c r="C93" s="29"/>
      <c r="D93" s="29"/>
      <c r="E93" s="45" t="n">
        <f aca="false">'13c. Budget - Yearly &amp; Total'!$E$6+'13c. Budget - Yearly &amp; Total'!$F$6</f>
        <v>0</v>
      </c>
      <c r="F93" s="45"/>
      <c r="G93" s="45" t="n">
        <f aca="false">'13c. Budget - Yearly &amp; Total'!$G$6</f>
        <v>0</v>
      </c>
      <c r="H93" s="45"/>
      <c r="I93" s="44" t="n">
        <f aca="false">'13c. Budget - Yearly &amp; Total'!$H$6</f>
        <v>0</v>
      </c>
      <c r="J93" s="28" t="str">
        <f aca="false">IF('13c. Budget - Yearly &amp; Total'!$H$6&gt;1.1,"Overspend Risk",IF('13c. Budget - Yearly &amp; Total'!$H$6&lt;0.7,"Underspend Risk","On Track"))</f>
        <v>Underspend Risk</v>
      </c>
      <c r="K93" s="28"/>
    </row>
    <row r="94" customFormat="false" ht="18" hidden="false" customHeight="true" outlineLevel="0" collapsed="false">
      <c r="B94" s="29" t="str">
        <f aca="false">'13c. Budget - Yearly &amp; Total'!$C$7</f>
        <v>Education Service Delivery Support: learning materials, teaching-volunteer incentives, CBLF minimum package, solar/fire safety, maintenance, assistive devices</v>
      </c>
      <c r="C94" s="29"/>
      <c r="D94" s="29"/>
      <c r="E94" s="45" t="n">
        <f aca="false">'13c. Budget - Yearly &amp; Total'!$E$7+'13c. Budget - Yearly &amp; Total'!$F$7</f>
        <v>0</v>
      </c>
      <c r="F94" s="45"/>
      <c r="G94" s="45" t="n">
        <f aca="false">'13c. Budget - Yearly &amp; Total'!$G$7</f>
        <v>0</v>
      </c>
      <c r="H94" s="45"/>
      <c r="I94" s="44" t="n">
        <f aca="false">'13c. Budget - Yearly &amp; Total'!$H$7</f>
        <v>0</v>
      </c>
      <c r="J94" s="28" t="str">
        <f aca="false">IF('13c. Budget - Yearly &amp; Total'!$H$7&gt;1.1,"Overspend Risk",IF('13c. Budget - Yearly &amp; Total'!$H$7&lt;0.7,"Underspend Risk","On Track"))</f>
        <v>Underspend Risk</v>
      </c>
      <c r="K94" s="28"/>
    </row>
    <row r="95" customFormat="false" ht="18" hidden="false" customHeight="true" outlineLevel="0" collapsed="false">
      <c r="B95" s="29" t="str">
        <f aca="false">'13c. Budget - Yearly &amp; Total'!$C$8</f>
        <v>Gender-Appropriate Dignity Kits and MHM Support for adolescent girls</v>
      </c>
      <c r="C95" s="29"/>
      <c r="D95" s="29"/>
      <c r="E95" s="45" t="n">
        <f aca="false">'13c. Budget - Yearly &amp; Total'!$E$8+'13c. Budget - Yearly &amp; Total'!$F$8</f>
        <v>0</v>
      </c>
      <c r="F95" s="45"/>
      <c r="G95" s="45" t="n">
        <f aca="false">'13c. Budget - Yearly &amp; Total'!$G$8</f>
        <v>0</v>
      </c>
      <c r="H95" s="45"/>
      <c r="I95" s="44" t="n">
        <f aca="false">'13c. Budget - Yearly &amp; Total'!$H$8</f>
        <v>0</v>
      </c>
      <c r="J95" s="28" t="str">
        <f aca="false">IF('13c. Budget - Yearly &amp; Total'!$H$8&gt;1.1,"Overspend Risk",IF('13c. Budget - Yearly &amp; Total'!$H$8&lt;0.7,"Underspend Risk","On Track"))</f>
        <v>Underspend Risk</v>
      </c>
      <c r="K95" s="28"/>
    </row>
    <row r="96" customFormat="false" ht="18" hidden="false" customHeight="true" outlineLevel="0" collapsed="false">
      <c r="B96" s="29" t="str">
        <f aca="false">'13c. Budget - Yearly &amp; Total'!$C$9</f>
        <v>Strengthening Technical/Operational Capacities of Staff, Teaching Volunteers and Consortium Partners</v>
      </c>
      <c r="C96" s="29"/>
      <c r="D96" s="29"/>
      <c r="E96" s="45" t="n">
        <f aca="false">'13c. Budget - Yearly &amp; Total'!$E$9+'13c. Budget - Yearly &amp; Total'!$F$9</f>
        <v>0</v>
      </c>
      <c r="F96" s="45"/>
      <c r="G96" s="45" t="n">
        <f aca="false">'13c. Budget - Yearly &amp; Total'!$G$9</f>
        <v>0</v>
      </c>
      <c r="H96" s="45"/>
      <c r="I96" s="44" t="n">
        <f aca="false">'13c. Budget - Yearly &amp; Total'!$H$9</f>
        <v>0</v>
      </c>
      <c r="J96" s="28" t="str">
        <f aca="false">IF('13c. Budget - Yearly &amp; Total'!$H$9&gt;1.1,"Overspend Risk",IF('13c. Budget - Yearly &amp; Total'!$H$9&lt;0.7,"Underspend Risk","On Track"))</f>
        <v>Underspend Risk</v>
      </c>
      <c r="K96" s="28"/>
    </row>
    <row r="97" customFormat="false" ht="18" hidden="false" customHeight="true" outlineLevel="0" collapsed="false">
      <c r="B97" s="29" t="str">
        <f aca="false">'13c. Budget - Yearly &amp; Total'!$C$10</f>
        <v>Community Engagement (CESG), Caregiver Support and SEL Storybooks</v>
      </c>
      <c r="C97" s="29"/>
      <c r="D97" s="29"/>
      <c r="E97" s="45" t="n">
        <f aca="false">'13c. Budget - Yearly &amp; Total'!$E$10+'13c. Budget - Yearly &amp; Total'!$F$10</f>
        <v>0</v>
      </c>
      <c r="F97" s="45"/>
      <c r="G97" s="45" t="n">
        <f aca="false">'13c. Budget - Yearly &amp; Total'!$G$10</f>
        <v>0</v>
      </c>
      <c r="H97" s="45"/>
      <c r="I97" s="44" t="n">
        <f aca="false">'13c. Budget - Yearly &amp; Total'!$H$10</f>
        <v>0</v>
      </c>
      <c r="J97" s="28" t="str">
        <f aca="false">IF('13c. Budget - Yearly &amp; Total'!$H$10&gt;1.1,"Overspend Risk",IF('13c. Budget - Yearly &amp; Total'!$H$10&lt;0.7,"Underspend Risk","On Track"))</f>
        <v>Underspend Risk</v>
      </c>
      <c r="K97" s="28"/>
    </row>
    <row r="98" customFormat="false" ht="18" hidden="false" customHeight="true" outlineLevel="0" collapsed="false">
      <c r="B98" s="29" t="str">
        <f aca="false">'13c. Budget - Yearly &amp; Total'!$C$11</f>
        <v>Child protection case management services (identification, assessment, planning, referral, closure)</v>
      </c>
      <c r="C98" s="29"/>
      <c r="D98" s="29"/>
      <c r="E98" s="45" t="n">
        <f aca="false">'13c. Budget - Yearly &amp; Total'!$E$11+'13c. Budget - Yearly &amp; Total'!$F$11</f>
        <v>0</v>
      </c>
      <c r="F98" s="45"/>
      <c r="G98" s="45" t="n">
        <f aca="false">'13c. Budget - Yearly &amp; Total'!$G$11</f>
        <v>0</v>
      </c>
      <c r="H98" s="45"/>
      <c r="I98" s="44" t="n">
        <f aca="false">'13c. Budget - Yearly &amp; Total'!$H$11</f>
        <v>0</v>
      </c>
      <c r="J98" s="28" t="str">
        <f aca="false">IF('13c. Budget - Yearly &amp; Total'!$H$11&gt;1.1,"Overspend Risk",IF('13c. Budget - Yearly &amp; Total'!$H$11&lt;0.7,"Underspend Risk","On Track"))</f>
        <v>Underspend Risk</v>
      </c>
      <c r="K98" s="28"/>
    </row>
    <row r="99" customFormat="false" ht="18" hidden="false" customHeight="true" outlineLevel="0" collapsed="false">
      <c r="B99" s="29" t="str">
        <f aca="false">'13c. Budget - Yearly &amp; Total'!$C$12</f>
        <v>Establish and/or refurbish Multipurpose Centres + deliver MHPSS (shown as 0 in source - costs captured under R2A3 below)</v>
      </c>
      <c r="C99" s="29"/>
      <c r="D99" s="29"/>
      <c r="E99" s="45" t="n">
        <f aca="false">'13c. Budget - Yearly &amp; Total'!$E$12+'13c. Budget - Yearly &amp; Total'!$F$12</f>
        <v>0</v>
      </c>
      <c r="F99" s="45"/>
      <c r="G99" s="45" t="n">
        <f aca="false">'13c. Budget - Yearly &amp; Total'!$G$12</f>
        <v>0</v>
      </c>
      <c r="H99" s="45"/>
      <c r="I99" s="44" t="str">
        <f aca="false">'13c. Budget - Yearly &amp; Total'!$H$12</f>
        <v/>
      </c>
      <c r="J99" s="28" t="str">
        <f aca="false">IF('13c. Budget - Yearly &amp; Total'!$H$12&gt;1.1,"Overspend Risk",IF('13c. Budget - Yearly &amp; Total'!$H$12&lt;0.7,"Underspend Risk","On Track"))</f>
        <v>Overspend Risk</v>
      </c>
      <c r="K99" s="28"/>
    </row>
    <row r="100" customFormat="false" ht="18" hidden="false" customHeight="true" outlineLevel="0" collapsed="false">
      <c r="B100" s="29" t="str">
        <f aca="false">'13c. Budget - Yearly &amp; Total'!$C$13</f>
        <v>PSS and protection-focused group interventions via MPCACs (incl. establishment, ISMF, Men &amp; Boys Engagement, dignity/MHM kits)</v>
      </c>
      <c r="C100" s="29"/>
      <c r="D100" s="29"/>
      <c r="E100" s="45" t="n">
        <f aca="false">'13c. Budget - Yearly &amp; Total'!$E$13+'13c. Budget - Yearly &amp; Total'!$F$13</f>
        <v>0</v>
      </c>
      <c r="F100" s="45"/>
      <c r="G100" s="45" t="n">
        <f aca="false">'13c. Budget - Yearly &amp; Total'!$G$13</f>
        <v>0</v>
      </c>
      <c r="H100" s="45"/>
      <c r="I100" s="44" t="n">
        <f aca="false">'13c. Budget - Yearly &amp; Total'!$H$13</f>
        <v>0</v>
      </c>
      <c r="J100" s="28" t="str">
        <f aca="false">IF('13c. Budget - Yearly &amp; Total'!$H$13&gt;1.1,"Overspend Risk",IF('13c. Budget - Yearly &amp; Total'!$H$13&lt;0.7,"Underspend Risk","On Track"))</f>
        <v>Underspend Risk</v>
      </c>
      <c r="K100" s="28"/>
    </row>
    <row r="101" customFormat="false" ht="18" hidden="false" customHeight="true" outlineLevel="0" collapsed="false">
      <c r="B101" s="29" t="str">
        <f aca="false">'13c. Budget - Yearly &amp; Total'!$C$14</f>
        <v>Strengthening community-based protection mechanisms (CBCPC, PALS, risk mapping, IPT/puppet, DRR training)</v>
      </c>
      <c r="C101" s="29"/>
      <c r="D101" s="29"/>
      <c r="E101" s="45" t="n">
        <f aca="false">'13c. Budget - Yearly &amp; Total'!$E$14+'13c. Budget - Yearly &amp; Total'!$F$14</f>
        <v>0</v>
      </c>
      <c r="F101" s="45"/>
      <c r="G101" s="45" t="n">
        <f aca="false">'13c. Budget - Yearly &amp; Total'!$G$14</f>
        <v>0</v>
      </c>
      <c r="H101" s="45"/>
      <c r="I101" s="44" t="n">
        <f aca="false">'13c. Budget - Yearly &amp; Total'!$H$14</f>
        <v>0</v>
      </c>
      <c r="J101" s="28" t="str">
        <f aca="false">IF('13c. Budget - Yearly &amp; Total'!$H$14&gt;1.1,"Overspend Risk",IF('13c. Budget - Yearly &amp; Total'!$H$14&lt;0.7,"Underspend Risk","On Track"))</f>
        <v>Underspend Risk</v>
      </c>
      <c r="K101" s="28"/>
    </row>
    <row r="102" customFormat="false" ht="18" hidden="false" customHeight="true" outlineLevel="0" collapsed="false">
      <c r="B102" s="29" t="str">
        <f aca="false">'13c. Budget - Yearly &amp; Total'!$C$15</f>
        <v>Capacity-building for frontline staff/volunteers on CP-GBV integration</v>
      </c>
      <c r="C102" s="29"/>
      <c r="D102" s="29"/>
      <c r="E102" s="45" t="n">
        <f aca="false">'13c. Budget - Yearly &amp; Total'!$E$15+'13c. Budget - Yearly &amp; Total'!$F$15</f>
        <v>0</v>
      </c>
      <c r="F102" s="45"/>
      <c r="G102" s="45" t="n">
        <f aca="false">'13c. Budget - Yearly &amp; Total'!$G$15</f>
        <v>0</v>
      </c>
      <c r="H102" s="45"/>
      <c r="I102" s="44" t="n">
        <f aca="false">'13c. Budget - Yearly &amp; Total'!$H$15</f>
        <v>0</v>
      </c>
      <c r="J102" s="28" t="str">
        <f aca="false">IF('13c. Budget - Yearly &amp; Total'!$H$15&gt;1.1,"Overspend Risk",IF('13c. Budget - Yearly &amp; Total'!$H$15&lt;0.7,"Underspend Risk","On Track"))</f>
        <v>Underspend Risk</v>
      </c>
      <c r="K102" s="28"/>
    </row>
    <row r="103" customFormat="false" ht="18" hidden="false" customHeight="true" outlineLevel="0" collapsed="false">
      <c r="B103" s="29" t="str">
        <f aca="false">'13c. Budget - Yearly &amp; Total'!$C$16</f>
        <v>Human Resources (all local staff salaries - Project Coordinator, Technical Coordinator, officers, M&amp;E, admin, etc.)</v>
      </c>
      <c r="C103" s="29"/>
      <c r="D103" s="29"/>
      <c r="E103" s="45" t="n">
        <f aca="false">'13c. Budget - Yearly &amp; Total'!$E$16+'13c. Budget - Yearly &amp; Total'!$F$16</f>
        <v>0</v>
      </c>
      <c r="F103" s="45"/>
      <c r="G103" s="45" t="n">
        <f aca="false">'13c. Budget - Yearly &amp; Total'!$G$16</f>
        <v>0</v>
      </c>
      <c r="H103" s="45"/>
      <c r="I103" s="44" t="n">
        <f aca="false">'13c. Budget - Yearly &amp; Total'!$H$16</f>
        <v>0</v>
      </c>
      <c r="J103" s="28" t="str">
        <f aca="false">IF('13c. Budget - Yearly &amp; Total'!$H$16&gt;1.1,"Overspend Risk",IF('13c. Budget - Yearly &amp; Total'!$H$16&lt;0.7,"Underspend Risk","On Track"))</f>
        <v>Underspend Risk</v>
      </c>
      <c r="K103" s="28"/>
    </row>
    <row r="104" customFormat="false" ht="18" hidden="false" customHeight="true" outlineLevel="0" collapsed="false">
      <c r="B104" s="29" t="str">
        <f aca="false">'13c. Budget - Yearly &amp; Total'!$C$17</f>
        <v>Running Costs (staff/support travel, office rent &amp; utilities, communications)</v>
      </c>
      <c r="C104" s="29"/>
      <c r="D104" s="29"/>
      <c r="E104" s="45" t="n">
        <f aca="false">'13c. Budget - Yearly &amp; Total'!$E$17+'13c. Budget - Yearly &amp; Total'!$F$17</f>
        <v>0</v>
      </c>
      <c r="F104" s="45"/>
      <c r="G104" s="45" t="n">
        <f aca="false">'13c. Budget - Yearly &amp; Total'!$G$17</f>
        <v>0</v>
      </c>
      <c r="H104" s="45"/>
      <c r="I104" s="44" t="n">
        <f aca="false">'13c. Budget - Yearly &amp; Total'!$H$17</f>
        <v>0</v>
      </c>
      <c r="J104" s="28" t="str">
        <f aca="false">IF('13c. Budget - Yearly &amp; Total'!$H$17&gt;1.1,"Overspend Risk",IF('13c. Budget - Yearly &amp; Total'!$H$17&lt;0.7,"Underspend Risk","On Track"))</f>
        <v>Underspend Risk</v>
      </c>
      <c r="K104" s="28"/>
    </row>
    <row r="105" customFormat="false" ht="18" hidden="false" customHeight="true" outlineLevel="0" collapsed="false">
      <c r="B105" s="29" t="str">
        <f aca="false">'13c. Budget - Yearly &amp; Total'!$C$18</f>
        <v>Equipment (laptops, furniture and fixtures)</v>
      </c>
      <c r="C105" s="29"/>
      <c r="D105" s="29"/>
      <c r="E105" s="45" t="n">
        <f aca="false">'13c. Budget - Yearly &amp; Total'!$E$18+'13c. Budget - Yearly &amp; Total'!$F$18</f>
        <v>0</v>
      </c>
      <c r="F105" s="45"/>
      <c r="G105" s="45" t="n">
        <f aca="false">'13c. Budget - Yearly &amp; Total'!$G$18</f>
        <v>0</v>
      </c>
      <c r="H105" s="45"/>
      <c r="I105" s="44" t="n">
        <f aca="false">'13c. Budget - Yearly &amp; Total'!$H$18</f>
        <v>0</v>
      </c>
      <c r="J105" s="28" t="str">
        <f aca="false">IF('13c. Budget - Yearly &amp; Total'!$H$18&gt;1.1,"Overspend Risk",IF('13c. Budget - Yearly &amp; Total'!$H$18&lt;0.7,"Underspend Risk","On Track"))</f>
        <v>Underspend Risk</v>
      </c>
      <c r="K105" s="28"/>
    </row>
    <row r="106" customFormat="false" ht="18" hidden="false" customHeight="true" outlineLevel="0" collapsed="false">
      <c r="B106" s="29" t="str">
        <f aca="false">'13c. Budget - Yearly &amp; Total'!$C$19</f>
        <v>Indirect Costs (Local Partner ICR, max 2% of direct costs)</v>
      </c>
      <c r="C106" s="29"/>
      <c r="D106" s="29"/>
      <c r="E106" s="45" t="n">
        <f aca="false">'13c. Budget - Yearly &amp; Total'!$E$19+'13c. Budget - Yearly &amp; Total'!$F$19</f>
        <v>0</v>
      </c>
      <c r="F106" s="45"/>
      <c r="G106" s="45" t="n">
        <f aca="false">'13c. Budget - Yearly &amp; Total'!$G$19</f>
        <v>0</v>
      </c>
      <c r="H106" s="45"/>
      <c r="I106" s="44" t="n">
        <f aca="false">'13c. Budget - Yearly &amp; Total'!$H$19</f>
        <v>0</v>
      </c>
      <c r="J106" s="28" t="str">
        <f aca="false">IF('13c. Budget - Yearly &amp; Total'!$H$19&gt;1.1,"Overspend Risk",IF('13c. Budget - Yearly &amp; Total'!$H$19&lt;0.7,"Underspend Risk","On Track"))</f>
        <v>Underspend Risk</v>
      </c>
      <c r="K106" s="28"/>
    </row>
    <row r="108" customFormat="false" ht="21.75" hidden="false" customHeight="true" outlineLevel="0" collapsed="false">
      <c r="B108" s="9" t="s">
        <v>414</v>
      </c>
      <c r="C108" s="9"/>
      <c r="D108" s="9"/>
      <c r="E108" s="9"/>
      <c r="F108" s="9"/>
      <c r="G108" s="9"/>
      <c r="H108" s="9"/>
      <c r="I108" s="9"/>
      <c r="J108" s="9"/>
      <c r="K108" s="9"/>
    </row>
    <row r="109" customFormat="false" ht="15" hidden="false" customHeight="true" outlineLevel="0" collapsed="false">
      <c r="B109" s="13" t="s">
        <v>415</v>
      </c>
      <c r="C109" s="13"/>
      <c r="D109" s="13"/>
      <c r="E109" s="13"/>
      <c r="F109" s="13"/>
      <c r="G109" s="13"/>
      <c r="H109" s="13"/>
      <c r="I109" s="13"/>
      <c r="J109" s="13"/>
      <c r="K109" s="13"/>
    </row>
    <row r="111" customFormat="false" ht="24" hidden="false" customHeight="true" outlineLevel="0" collapsed="false">
      <c r="B111" s="31" t="s">
        <v>416</v>
      </c>
      <c r="C111" s="31"/>
      <c r="D111" s="31"/>
      <c r="E111" s="31" t="s">
        <v>417</v>
      </c>
      <c r="F111" s="31"/>
      <c r="G111" s="31"/>
      <c r="H111" s="31" t="s">
        <v>418</v>
      </c>
      <c r="I111" s="31"/>
      <c r="J111" s="31"/>
      <c r="K111" s="15" t="s">
        <v>395</v>
      </c>
    </row>
    <row r="112" customFormat="false" ht="18" hidden="false" customHeight="true" outlineLevel="0" collapsed="false">
      <c r="B112" s="28" t="s">
        <v>419</v>
      </c>
      <c r="C112" s="28"/>
      <c r="D112" s="28"/>
      <c r="E112" s="29" t="n">
        <f aca="false">SUMIF('10. Activity Data Log'!$E$7:$E$46,"Camp 1W",'10. Activity Data Log'!$U$7:$U$46)</f>
        <v>0</v>
      </c>
      <c r="F112" s="29"/>
      <c r="G112" s="29"/>
      <c r="H112" s="29" t="n">
        <f aca="false">SUMIF('11. Distribution Log'!$E$7:$E$46,"Camp 1W",'11. Distribution Log'!$W$7:$W$46)</f>
        <v>0</v>
      </c>
      <c r="I112" s="29"/>
      <c r="J112" s="29"/>
      <c r="K112" s="46" t="n">
        <f aca="false">E112+H112</f>
        <v>0</v>
      </c>
    </row>
    <row r="113" customFormat="false" ht="18" hidden="false" customHeight="true" outlineLevel="0" collapsed="false">
      <c r="B113" s="28" t="s">
        <v>420</v>
      </c>
      <c r="C113" s="28"/>
      <c r="D113" s="28"/>
      <c r="E113" s="29" t="n">
        <f aca="false">SUMIF('10. Activity Data Log'!$E$7:$E$46,"Camp 6",'10. Activity Data Log'!$U$7:$U$46)</f>
        <v>0</v>
      </c>
      <c r="F113" s="29"/>
      <c r="G113" s="29"/>
      <c r="H113" s="29" t="n">
        <f aca="false">SUMIF('11. Distribution Log'!$E$7:$E$46,"Camp 6",'11. Distribution Log'!$W$7:$W$46)</f>
        <v>0</v>
      </c>
      <c r="I113" s="29"/>
      <c r="J113" s="29"/>
      <c r="K113" s="46" t="n">
        <f aca="false">E113+H113</f>
        <v>0</v>
      </c>
    </row>
    <row r="114" customFormat="false" ht="18" hidden="false" customHeight="true" outlineLevel="0" collapsed="false">
      <c r="B114" s="28" t="s">
        <v>421</v>
      </c>
      <c r="C114" s="28"/>
      <c r="D114" s="28"/>
      <c r="E114" s="29" t="n">
        <f aca="false">SUMIF('10. Activity Data Log'!$E$7:$E$46,"Camp 21",'10. Activity Data Log'!$U$7:$U$46)</f>
        <v>0</v>
      </c>
      <c r="F114" s="29"/>
      <c r="G114" s="29"/>
      <c r="H114" s="29" t="n">
        <f aca="false">SUMIF('11. Distribution Log'!$E$7:$E$46,"Camp 21",'11. Distribution Log'!$W$7:$W$46)</f>
        <v>0</v>
      </c>
      <c r="I114" s="29"/>
      <c r="J114" s="29"/>
      <c r="K114" s="46" t="n">
        <f aca="false">E114+H114</f>
        <v>0</v>
      </c>
    </row>
    <row r="115" customFormat="false" ht="18" hidden="false" customHeight="true" outlineLevel="0" collapsed="false">
      <c r="B115" s="28" t="s">
        <v>422</v>
      </c>
      <c r="C115" s="28"/>
      <c r="D115" s="28"/>
      <c r="E115" s="29" t="n">
        <f aca="false">SUMIF('10. Activity Data Log'!$E$7:$E$46,"Camp 24",'10. Activity Data Log'!$U$7:$U$46)</f>
        <v>0</v>
      </c>
      <c r="F115" s="29"/>
      <c r="G115" s="29"/>
      <c r="H115" s="29" t="n">
        <f aca="false">SUMIF('11. Distribution Log'!$E$7:$E$46,"Camp 24",'11. Distribution Log'!$W$7:$W$46)</f>
        <v>0</v>
      </c>
      <c r="I115" s="29"/>
      <c r="J115" s="29"/>
      <c r="K115" s="46" t="n">
        <f aca="false">E115+H115</f>
        <v>0</v>
      </c>
    </row>
    <row r="117" customFormat="false" ht="21.75" hidden="false" customHeight="true" outlineLevel="0" collapsed="false">
      <c r="B117" s="9" t="s">
        <v>423</v>
      </c>
      <c r="C117" s="9"/>
      <c r="D117" s="9"/>
      <c r="E117" s="9"/>
      <c r="F117" s="9"/>
      <c r="G117" s="9"/>
      <c r="H117" s="9"/>
      <c r="I117" s="9"/>
      <c r="J117" s="9"/>
      <c r="K117" s="9"/>
    </row>
    <row r="118" customFormat="false" ht="15" hidden="false" customHeight="true" outlineLevel="0" collapsed="false">
      <c r="B118" s="13" t="s">
        <v>424</v>
      </c>
      <c r="C118" s="13"/>
      <c r="D118" s="13"/>
      <c r="E118" s="13"/>
      <c r="F118" s="13"/>
      <c r="G118" s="13"/>
      <c r="H118" s="13"/>
      <c r="I118" s="13"/>
      <c r="J118" s="13"/>
      <c r="K118" s="13"/>
    </row>
    <row r="120" customFormat="false" ht="19.5" hidden="false" customHeight="true" outlineLevel="0" collapsed="false">
      <c r="B120" s="31" t="s">
        <v>374</v>
      </c>
      <c r="C120" s="31"/>
      <c r="D120" s="31"/>
      <c r="E120" s="31"/>
      <c r="F120" s="31"/>
      <c r="G120" s="31" t="s">
        <v>375</v>
      </c>
      <c r="H120" s="31"/>
    </row>
    <row r="121" customFormat="false" ht="18" hidden="false" customHeight="true" outlineLevel="0" collapsed="false">
      <c r="B121" s="29" t="s">
        <v>425</v>
      </c>
      <c r="C121" s="29"/>
      <c r="D121" s="29"/>
      <c r="E121" s="29"/>
      <c r="F121" s="29"/>
      <c r="G121" s="28" t="n">
        <f aca="false">COUNTIF('6. CFM Log Template'!$AB$7:$AB$46,"&lt;&gt;")</f>
        <v>0</v>
      </c>
      <c r="H121" s="28"/>
    </row>
    <row r="122" customFormat="false" ht="18" hidden="false" customHeight="true" outlineLevel="0" collapsed="false">
      <c r="B122" s="29" t="s">
        <v>426</v>
      </c>
      <c r="C122" s="29"/>
      <c r="D122" s="29"/>
      <c r="E122" s="29"/>
      <c r="F122" s="29"/>
      <c r="G122" s="28" t="n">
        <f aca="false">COUNTIF('6. CFM Log Template'!$AB$7:$AB$46,"Unresolved")+COUNTIF('6. CFM Log Template'!$AB$7:$AB$46,"In progress")</f>
        <v>0</v>
      </c>
      <c r="H122" s="28"/>
    </row>
    <row r="123" customFormat="false" ht="18" hidden="false" customHeight="true" outlineLevel="0" collapsed="false">
      <c r="B123" s="29" t="s">
        <v>427</v>
      </c>
      <c r="C123" s="29"/>
      <c r="D123" s="29"/>
      <c r="E123" s="29"/>
      <c r="F123" s="29"/>
      <c r="G123" s="28" t="n">
        <f aca="false">SUMPRODUCT(ISNUMBER(SEARCH("5.",'6. CFM Log Template'!$U$7:$U$46))*1)+SUMPRODUCT(ISNUMBER(SEARCH("6.",'6. CFM Log Template'!$U$7:$U$46))*1)</f>
        <v>0</v>
      </c>
      <c r="H123" s="28"/>
    </row>
    <row r="126" customFormat="false" ht="21.75" hidden="false" customHeight="true" outlineLevel="0" collapsed="false">
      <c r="B126" s="9" t="s">
        <v>428</v>
      </c>
      <c r="C126" s="9"/>
      <c r="D126" s="9"/>
      <c r="E126" s="9"/>
      <c r="F126" s="9"/>
      <c r="G126" s="9"/>
      <c r="H126" s="9"/>
      <c r="I126" s="9"/>
      <c r="J126" s="9"/>
      <c r="K126" s="9"/>
    </row>
    <row r="127" customFormat="false" ht="15" hidden="false" customHeight="true" outlineLevel="0" collapsed="false">
      <c r="B127" s="13" t="s">
        <v>429</v>
      </c>
      <c r="C127" s="13"/>
      <c r="D127" s="13"/>
      <c r="E127" s="13"/>
      <c r="F127" s="13"/>
      <c r="G127" s="13"/>
      <c r="H127" s="13"/>
      <c r="I127" s="13"/>
      <c r="J127" s="13"/>
      <c r="K127" s="13"/>
    </row>
    <row r="129" customFormat="false" ht="19.5" hidden="false" customHeight="true" outlineLevel="0" collapsed="false">
      <c r="B129" s="31" t="s">
        <v>416</v>
      </c>
      <c r="C129" s="31"/>
      <c r="D129" s="31"/>
      <c r="E129" s="31" t="s">
        <v>430</v>
      </c>
      <c r="F129" s="31"/>
      <c r="G129" s="31" t="s">
        <v>431</v>
      </c>
      <c r="H129" s="31"/>
      <c r="I129" s="31"/>
      <c r="J129" s="31"/>
    </row>
    <row r="130" customFormat="false" ht="15.75" hidden="false" customHeight="true" outlineLevel="0" collapsed="false">
      <c r="B130" s="28" t="s">
        <v>419</v>
      </c>
      <c r="C130" s="28"/>
      <c r="D130" s="28"/>
      <c r="E130" s="29" t="s">
        <v>432</v>
      </c>
      <c r="F130" s="29"/>
      <c r="G130" s="36" t="str">
        <f aca="false">IFERROR(LOOKUP(2,1/('12b. Attendance Tracker'!$E$40:$AB$40&lt;&gt;""),'12b. Attendance Tracker'!$E$40:$AB$40),"No data yet")</f>
        <v>No data yet</v>
      </c>
      <c r="H130" s="36"/>
      <c r="I130" s="36"/>
      <c r="J130" s="36"/>
    </row>
    <row r="131" customFormat="false" ht="15.75" hidden="false" customHeight="true" outlineLevel="0" collapsed="false">
      <c r="B131" s="28" t="s">
        <v>419</v>
      </c>
      <c r="C131" s="28"/>
      <c r="D131" s="28"/>
      <c r="E131" s="29" t="s">
        <v>433</v>
      </c>
      <c r="F131" s="29"/>
      <c r="G131" s="36" t="str">
        <f aca="false">IFERROR(LOOKUP(2,1/('12b. Attendance Tracker'!$E$41:$AB$41&lt;&gt;""),'12b. Attendance Tracker'!$E$41:$AB$41),"No data yet")</f>
        <v>No data yet</v>
      </c>
      <c r="H131" s="36"/>
      <c r="I131" s="36"/>
      <c r="J131" s="36"/>
    </row>
    <row r="132" customFormat="false" ht="15.75" hidden="false" customHeight="true" outlineLevel="0" collapsed="false">
      <c r="B132" s="28" t="s">
        <v>420</v>
      </c>
      <c r="C132" s="28"/>
      <c r="D132" s="28"/>
      <c r="E132" s="29" t="s">
        <v>432</v>
      </c>
      <c r="F132" s="29"/>
      <c r="G132" s="36" t="str">
        <f aca="false">IFERROR(LOOKUP(2,1/('12b. Attendance Tracker'!$E$42:$AB$42&lt;&gt;""),'12b. Attendance Tracker'!$E$42:$AB$42),"No data yet")</f>
        <v>No data yet</v>
      </c>
      <c r="H132" s="36"/>
      <c r="I132" s="36"/>
      <c r="J132" s="36"/>
    </row>
    <row r="133" customFormat="false" ht="15.75" hidden="false" customHeight="true" outlineLevel="0" collapsed="false">
      <c r="B133" s="28" t="s">
        <v>420</v>
      </c>
      <c r="C133" s="28"/>
      <c r="D133" s="28"/>
      <c r="E133" s="29" t="s">
        <v>433</v>
      </c>
      <c r="F133" s="29"/>
      <c r="G133" s="36" t="str">
        <f aca="false">IFERROR(LOOKUP(2,1/('12b. Attendance Tracker'!$E$43:$AB$43&lt;&gt;""),'12b. Attendance Tracker'!$E$43:$AB$43),"No data yet")</f>
        <v>No data yet</v>
      </c>
      <c r="H133" s="36"/>
      <c r="I133" s="36"/>
      <c r="J133" s="36"/>
    </row>
    <row r="134" customFormat="false" ht="15.75" hidden="false" customHeight="true" outlineLevel="0" collapsed="false">
      <c r="B134" s="28" t="s">
        <v>421</v>
      </c>
      <c r="C134" s="28"/>
      <c r="D134" s="28"/>
      <c r="E134" s="29" t="s">
        <v>432</v>
      </c>
      <c r="F134" s="29"/>
      <c r="G134" s="36" t="str">
        <f aca="false">IFERROR(LOOKUP(2,1/('12b. Attendance Tracker'!$E$44:$AB$44&lt;&gt;""),'12b. Attendance Tracker'!$E$44:$AB$44),"No data yet")</f>
        <v>No data yet</v>
      </c>
      <c r="H134" s="36"/>
      <c r="I134" s="36"/>
      <c r="J134" s="36"/>
    </row>
    <row r="135" customFormat="false" ht="15.75" hidden="false" customHeight="true" outlineLevel="0" collapsed="false">
      <c r="B135" s="28" t="s">
        <v>421</v>
      </c>
      <c r="C135" s="28"/>
      <c r="D135" s="28"/>
      <c r="E135" s="29" t="s">
        <v>433</v>
      </c>
      <c r="F135" s="29"/>
      <c r="G135" s="36" t="str">
        <f aca="false">IFERROR(LOOKUP(2,1/('12b. Attendance Tracker'!$E$45:$AB$45&lt;&gt;""),'12b. Attendance Tracker'!$E$45:$AB$45),"No data yet")</f>
        <v>No data yet</v>
      </c>
      <c r="H135" s="36"/>
      <c r="I135" s="36"/>
      <c r="J135" s="36"/>
    </row>
    <row r="136" customFormat="false" ht="15.75" hidden="false" customHeight="true" outlineLevel="0" collapsed="false">
      <c r="B136" s="28" t="s">
        <v>422</v>
      </c>
      <c r="C136" s="28"/>
      <c r="D136" s="28"/>
      <c r="E136" s="29" t="s">
        <v>432</v>
      </c>
      <c r="F136" s="29"/>
      <c r="G136" s="36" t="str">
        <f aca="false">IFERROR(LOOKUP(2,1/('12b. Attendance Tracker'!$E$46:$AB$46&lt;&gt;""),'12b. Attendance Tracker'!$E$46:$AB$46),"No data yet")</f>
        <v>No data yet</v>
      </c>
      <c r="H136" s="36"/>
      <c r="I136" s="36"/>
      <c r="J136" s="36"/>
    </row>
    <row r="137" customFormat="false" ht="15.75" hidden="false" customHeight="true" outlineLevel="0" collapsed="false">
      <c r="B137" s="28" t="s">
        <v>422</v>
      </c>
      <c r="C137" s="28"/>
      <c r="D137" s="28"/>
      <c r="E137" s="29" t="s">
        <v>433</v>
      </c>
      <c r="F137" s="29"/>
      <c r="G137" s="36" t="str">
        <f aca="false">IFERROR(LOOKUP(2,1/('12b. Attendance Tracker'!$E$47:$AB$47&lt;&gt;""),'12b. Attendance Tracker'!$E$47:$AB$47),"No data yet")</f>
        <v>No data yet</v>
      </c>
      <c r="H137" s="36"/>
      <c r="I137" s="36"/>
      <c r="J137" s="36"/>
    </row>
    <row r="139" customFormat="false" ht="21.75" hidden="false" customHeight="true" outlineLevel="0" collapsed="false">
      <c r="B139" s="9" t="s">
        <v>434</v>
      </c>
      <c r="C139" s="9"/>
      <c r="D139" s="9"/>
      <c r="E139" s="9"/>
      <c r="F139" s="9"/>
      <c r="G139" s="9"/>
      <c r="H139" s="9"/>
      <c r="I139" s="9"/>
      <c r="J139" s="9"/>
      <c r="K139" s="9"/>
    </row>
    <row r="140" customFormat="false" ht="15" hidden="false" customHeight="true" outlineLevel="0" collapsed="false">
      <c r="B140" s="13" t="s">
        <v>435</v>
      </c>
      <c r="C140" s="13"/>
      <c r="D140" s="13"/>
      <c r="E140" s="13"/>
      <c r="F140" s="13"/>
      <c r="G140" s="13"/>
      <c r="H140" s="13"/>
      <c r="I140" s="13"/>
      <c r="J140" s="13"/>
      <c r="K140" s="13"/>
    </row>
    <row r="142" customFormat="false" ht="19.5" hidden="false" customHeight="true" outlineLevel="0" collapsed="false">
      <c r="B142" s="31" t="s">
        <v>436</v>
      </c>
      <c r="C142" s="31"/>
      <c r="D142" s="31"/>
      <c r="E142" s="31" t="s">
        <v>430</v>
      </c>
      <c r="F142" s="31"/>
      <c r="G142" s="31" t="s">
        <v>437</v>
      </c>
      <c r="H142" s="31"/>
      <c r="I142" s="31"/>
      <c r="J142" s="31"/>
    </row>
    <row r="143" customFormat="false" ht="15.75" hidden="false" customHeight="true" outlineLevel="0" collapsed="false">
      <c r="B143" s="28" t="s">
        <v>438</v>
      </c>
      <c r="C143" s="28"/>
      <c r="D143" s="28"/>
      <c r="E143" s="29" t="s">
        <v>432</v>
      </c>
      <c r="F143" s="29"/>
      <c r="G143" s="36" t="str">
        <f aca="false">'12. Dropout Tracker'!$I$226</f>
        <v/>
      </c>
      <c r="H143" s="36"/>
      <c r="I143" s="36"/>
      <c r="J143" s="36"/>
    </row>
    <row r="144" customFormat="false" ht="15.75" hidden="false" customHeight="true" outlineLevel="0" collapsed="false">
      <c r="B144" s="28" t="s">
        <v>438</v>
      </c>
      <c r="C144" s="28"/>
      <c r="D144" s="28"/>
      <c r="E144" s="29" t="s">
        <v>433</v>
      </c>
      <c r="F144" s="29"/>
      <c r="G144" s="36" t="str">
        <f aca="false">'12. Dropout Tracker'!$I$227</f>
        <v/>
      </c>
      <c r="H144" s="36"/>
      <c r="I144" s="36"/>
      <c r="J144" s="36"/>
    </row>
    <row r="145" customFormat="false" ht="15.75" hidden="false" customHeight="true" outlineLevel="0" collapsed="false">
      <c r="B145" s="28" t="s">
        <v>439</v>
      </c>
      <c r="C145" s="28"/>
      <c r="D145" s="28"/>
      <c r="E145" s="29" t="s">
        <v>440</v>
      </c>
      <c r="F145" s="29"/>
      <c r="G145" s="36" t="str">
        <f aca="false">'12. Dropout Tracker'!$I$228</f>
        <v/>
      </c>
      <c r="H145" s="36"/>
      <c r="I145" s="36"/>
      <c r="J145" s="36"/>
    </row>
    <row r="146" customFormat="false" ht="15.75" hidden="false" customHeight="true" outlineLevel="0" collapsed="false">
      <c r="B146" s="28" t="s">
        <v>439</v>
      </c>
      <c r="C146" s="28"/>
      <c r="D146" s="28"/>
      <c r="E146" s="29" t="s">
        <v>441</v>
      </c>
      <c r="F146" s="29"/>
      <c r="G146" s="36" t="str">
        <f aca="false">'12. Dropout Tracker'!$I$229</f>
        <v/>
      </c>
      <c r="H146" s="36"/>
      <c r="I146" s="36"/>
      <c r="J146" s="36"/>
    </row>
    <row r="147" customFormat="false" ht="15.75" hidden="false" customHeight="true" outlineLevel="0" collapsed="false">
      <c r="B147" s="28" t="s">
        <v>442</v>
      </c>
      <c r="C147" s="28"/>
      <c r="D147" s="28"/>
      <c r="E147" s="29" t="s">
        <v>440</v>
      </c>
      <c r="F147" s="29"/>
      <c r="G147" s="36" t="str">
        <f aca="false">'12. Dropout Tracker'!$I$230</f>
        <v/>
      </c>
      <c r="H147" s="36"/>
      <c r="I147" s="36"/>
      <c r="J147" s="36"/>
    </row>
    <row r="148" customFormat="false" ht="15.75" hidden="false" customHeight="true" outlineLevel="0" collapsed="false">
      <c r="B148" s="28" t="s">
        <v>442</v>
      </c>
      <c r="C148" s="28"/>
      <c r="D148" s="28"/>
      <c r="E148" s="29" t="s">
        <v>441</v>
      </c>
      <c r="F148" s="29"/>
      <c r="G148" s="36" t="str">
        <f aca="false">'12. Dropout Tracker'!$I$231</f>
        <v/>
      </c>
      <c r="H148" s="36"/>
      <c r="I148" s="36"/>
      <c r="J148" s="36"/>
    </row>
    <row r="151" customFormat="false" ht="21.75" hidden="false" customHeight="true" outlineLevel="0" collapsed="false">
      <c r="B151" s="9" t="s">
        <v>443</v>
      </c>
      <c r="C151" s="9"/>
      <c r="D151" s="9"/>
      <c r="E151" s="9"/>
      <c r="F151" s="9"/>
      <c r="G151" s="9"/>
      <c r="H151" s="9"/>
      <c r="I151" s="9"/>
      <c r="J151" s="9"/>
      <c r="K151" s="9"/>
    </row>
    <row r="153" customFormat="false" ht="15" hidden="false" customHeight="false" outlineLevel="0" collapsed="false">
      <c r="B153" s="0" t="s">
        <v>356</v>
      </c>
      <c r="C153" s="0" t="s">
        <v>357</v>
      </c>
      <c r="D153" s="0" t="s">
        <v>358</v>
      </c>
      <c r="E153" s="0" t="s">
        <v>359</v>
      </c>
    </row>
    <row r="154" customFormat="false" ht="15" hidden="false" customHeight="false" outlineLevel="0" collapsed="false">
      <c r="B154" s="0" t="n">
        <f aca="false">COUNTIF('8. Activity Tracker'!AE7:AE93,"On Track")</f>
        <v>0</v>
      </c>
      <c r="C154" s="0" t="n">
        <f aca="false">COUNTIF('8. Activity Tracker'!AE7:AE93,"Slightly Behind")</f>
        <v>0</v>
      </c>
      <c r="D154" s="0" t="n">
        <f aca="false">COUNTIF('8. Activity Tracker'!AE7:AE93,"Behind")</f>
        <v>0</v>
      </c>
      <c r="E154" s="0" t="n">
        <f aca="false">COUNTIF('8. Activity Tracker'!AE7:AE93,"No data yet")</f>
        <v>75</v>
      </c>
    </row>
    <row r="173" customFormat="false" ht="21.75" hidden="false" customHeight="true" outlineLevel="0" collapsed="false">
      <c r="B173" s="9" t="s">
        <v>444</v>
      </c>
      <c r="C173" s="9"/>
      <c r="D173" s="9"/>
      <c r="E173" s="9"/>
      <c r="F173" s="9"/>
      <c r="G173" s="9"/>
      <c r="H173" s="9"/>
      <c r="I173" s="9"/>
      <c r="J173" s="9"/>
      <c r="K173" s="9"/>
    </row>
    <row r="175" customFormat="false" ht="15" hidden="false" customHeight="false" outlineLevel="0" collapsed="false">
      <c r="B175" s="0" t="s">
        <v>445</v>
      </c>
      <c r="C175" s="47" t="str">
        <f aca="false">'12. Dropout Tracker'!$I$226</f>
        <v/>
      </c>
    </row>
    <row r="176" customFormat="false" ht="15" hidden="false" customHeight="false" outlineLevel="0" collapsed="false">
      <c r="B176" s="0" t="s">
        <v>446</v>
      </c>
      <c r="C176" s="47" t="str">
        <f aca="false">'12. Dropout Tracker'!$I$227</f>
        <v/>
      </c>
    </row>
    <row r="177" customFormat="false" ht="15" hidden="false" customHeight="false" outlineLevel="0" collapsed="false">
      <c r="B177" s="0" t="s">
        <v>447</v>
      </c>
      <c r="C177" s="47" t="str">
        <f aca="false">'12. Dropout Tracker'!$I$228</f>
        <v/>
      </c>
    </row>
    <row r="178" customFormat="false" ht="15" hidden="false" customHeight="false" outlineLevel="0" collapsed="false">
      <c r="B178" s="0" t="s">
        <v>448</v>
      </c>
      <c r="C178" s="47" t="str">
        <f aca="false">'12. Dropout Tracker'!$I$229</f>
        <v/>
      </c>
    </row>
    <row r="179" customFormat="false" ht="15" hidden="false" customHeight="false" outlineLevel="0" collapsed="false">
      <c r="B179" s="0" t="s">
        <v>449</v>
      </c>
      <c r="C179" s="47" t="str">
        <f aca="false">'12. Dropout Tracker'!$I$230</f>
        <v/>
      </c>
    </row>
    <row r="180" customFormat="false" ht="15" hidden="false" customHeight="false" outlineLevel="0" collapsed="false">
      <c r="B180" s="0" t="s">
        <v>450</v>
      </c>
      <c r="C180" s="47" t="str">
        <f aca="false">'12. Dropout Tracker'!$I$231</f>
        <v/>
      </c>
    </row>
  </sheetData>
  <mergeCells count="299">
    <mergeCell ref="B2:K2"/>
    <mergeCell ref="B3:K3"/>
    <mergeCell ref="B5:C5"/>
    <mergeCell ref="D5:E5"/>
    <mergeCell ref="F5:G5"/>
    <mergeCell ref="H5:I5"/>
    <mergeCell ref="B6:C6"/>
    <mergeCell ref="D6:E6"/>
    <mergeCell ref="F6:G6"/>
    <mergeCell ref="H6:I6"/>
    <mergeCell ref="B8:K8"/>
    <mergeCell ref="B9:K9"/>
    <mergeCell ref="B11:D11"/>
    <mergeCell ref="E11:H11"/>
    <mergeCell ref="I11:K11"/>
    <mergeCell ref="B12:D12"/>
    <mergeCell ref="E12:H12"/>
    <mergeCell ref="I12:K12"/>
    <mergeCell ref="B13:D13"/>
    <mergeCell ref="E13:H13"/>
    <mergeCell ref="I13:K13"/>
    <mergeCell ref="B14:D14"/>
    <mergeCell ref="E14:H14"/>
    <mergeCell ref="I14:K14"/>
    <mergeCell ref="B15:D15"/>
    <mergeCell ref="E15:H15"/>
    <mergeCell ref="I15:K15"/>
    <mergeCell ref="B16:D16"/>
    <mergeCell ref="E16:H16"/>
    <mergeCell ref="I16:K16"/>
    <mergeCell ref="B18:K18"/>
    <mergeCell ref="B19:K19"/>
    <mergeCell ref="B21:C21"/>
    <mergeCell ref="D21:E21"/>
    <mergeCell ref="F21:G21"/>
    <mergeCell ref="H21:I21"/>
    <mergeCell ref="B22:C22"/>
    <mergeCell ref="D22:E22"/>
    <mergeCell ref="F22:G22"/>
    <mergeCell ref="H22:I22"/>
    <mergeCell ref="B24:K24"/>
    <mergeCell ref="B26:K26"/>
    <mergeCell ref="B27:K27"/>
    <mergeCell ref="B29:C29"/>
    <mergeCell ref="D29:E29"/>
    <mergeCell ref="F29:G29"/>
    <mergeCell ref="H29:I29"/>
    <mergeCell ref="J29:K29"/>
    <mergeCell ref="B30:C30"/>
    <mergeCell ref="D30:E30"/>
    <mergeCell ref="F30:G30"/>
    <mergeCell ref="H30:I30"/>
    <mergeCell ref="J30:K30"/>
    <mergeCell ref="B31:C31"/>
    <mergeCell ref="D31:E31"/>
    <mergeCell ref="F31:G31"/>
    <mergeCell ref="H31:I31"/>
    <mergeCell ref="J31:K31"/>
    <mergeCell ref="B32:C32"/>
    <mergeCell ref="D32:E32"/>
    <mergeCell ref="F32:G32"/>
    <mergeCell ref="H32:I32"/>
    <mergeCell ref="J32:K32"/>
    <mergeCell ref="B34:K34"/>
    <mergeCell ref="B36:K36"/>
    <mergeCell ref="B37:K37"/>
    <mergeCell ref="B39:F39"/>
    <mergeCell ref="G39:H39"/>
    <mergeCell ref="B40:F40"/>
    <mergeCell ref="G40:H40"/>
    <mergeCell ref="B41:F41"/>
    <mergeCell ref="G41:H41"/>
    <mergeCell ref="B42:F42"/>
    <mergeCell ref="G42:H42"/>
    <mergeCell ref="B43:F43"/>
    <mergeCell ref="G43:H43"/>
    <mergeCell ref="B44:F44"/>
    <mergeCell ref="G44:H44"/>
    <mergeCell ref="B45:F45"/>
    <mergeCell ref="G45:H45"/>
    <mergeCell ref="B47:K47"/>
    <mergeCell ref="B48:K48"/>
    <mergeCell ref="B50:D50"/>
    <mergeCell ref="E50:F50"/>
    <mergeCell ref="B51:D51"/>
    <mergeCell ref="E51:F51"/>
    <mergeCell ref="B52:D52"/>
    <mergeCell ref="E52:F52"/>
    <mergeCell ref="B53:D53"/>
    <mergeCell ref="E53:F53"/>
    <mergeCell ref="B54:D54"/>
    <mergeCell ref="E54:F54"/>
    <mergeCell ref="B55:D55"/>
    <mergeCell ref="E55:F55"/>
    <mergeCell ref="B56:D56"/>
    <mergeCell ref="E56:F56"/>
    <mergeCell ref="B57:K57"/>
    <mergeCell ref="B58:K58"/>
    <mergeCell ref="B60:D60"/>
    <mergeCell ref="E60:F60"/>
    <mergeCell ref="G60:H60"/>
    <mergeCell ref="I60:J60"/>
    <mergeCell ref="B61:D61"/>
    <mergeCell ref="E61:F61"/>
    <mergeCell ref="G61:H61"/>
    <mergeCell ref="I61:J61"/>
    <mergeCell ref="B62:D62"/>
    <mergeCell ref="E62:F62"/>
    <mergeCell ref="G62:H62"/>
    <mergeCell ref="I62:J62"/>
    <mergeCell ref="B63:D63"/>
    <mergeCell ref="E63:F63"/>
    <mergeCell ref="G63:H63"/>
    <mergeCell ref="I63:J63"/>
    <mergeCell ref="B65:K65"/>
    <mergeCell ref="B66:K66"/>
    <mergeCell ref="B68:C68"/>
    <mergeCell ref="D68:G68"/>
    <mergeCell ref="B69:C69"/>
    <mergeCell ref="D69:G69"/>
    <mergeCell ref="B70:C70"/>
    <mergeCell ref="D70:G70"/>
    <mergeCell ref="B71:C71"/>
    <mergeCell ref="D71:G71"/>
    <mergeCell ref="B72:C72"/>
    <mergeCell ref="D72:G72"/>
    <mergeCell ref="B73:C73"/>
    <mergeCell ref="D73:G73"/>
    <mergeCell ref="B74:C74"/>
    <mergeCell ref="D74:G74"/>
    <mergeCell ref="B75:C75"/>
    <mergeCell ref="D75:G75"/>
    <mergeCell ref="B76:C76"/>
    <mergeCell ref="D76:G76"/>
    <mergeCell ref="B77:C77"/>
    <mergeCell ref="D77:G77"/>
    <mergeCell ref="B78:C78"/>
    <mergeCell ref="D78:G78"/>
    <mergeCell ref="B79:C79"/>
    <mergeCell ref="D79:G79"/>
    <mergeCell ref="B80:C80"/>
    <mergeCell ref="D80:G80"/>
    <mergeCell ref="B81:C81"/>
    <mergeCell ref="D81:G81"/>
    <mergeCell ref="B82:C82"/>
    <mergeCell ref="D82:G82"/>
    <mergeCell ref="B83:C83"/>
    <mergeCell ref="D83:G83"/>
    <mergeCell ref="B84:C84"/>
    <mergeCell ref="D84:G84"/>
    <mergeCell ref="B85:C85"/>
    <mergeCell ref="D85:G85"/>
    <mergeCell ref="B86:C86"/>
    <mergeCell ref="D86:G86"/>
    <mergeCell ref="B87:C87"/>
    <mergeCell ref="D87:G87"/>
    <mergeCell ref="B89:K89"/>
    <mergeCell ref="B90:K90"/>
    <mergeCell ref="B92:D92"/>
    <mergeCell ref="E92:F92"/>
    <mergeCell ref="G92:H92"/>
    <mergeCell ref="J92:K92"/>
    <mergeCell ref="B93:D93"/>
    <mergeCell ref="E93:F93"/>
    <mergeCell ref="G93:H93"/>
    <mergeCell ref="J93:K93"/>
    <mergeCell ref="B94:D94"/>
    <mergeCell ref="E94:F94"/>
    <mergeCell ref="G94:H94"/>
    <mergeCell ref="J94:K94"/>
    <mergeCell ref="B95:D95"/>
    <mergeCell ref="E95:F95"/>
    <mergeCell ref="G95:H95"/>
    <mergeCell ref="J95:K95"/>
    <mergeCell ref="B96:D96"/>
    <mergeCell ref="E96:F96"/>
    <mergeCell ref="G96:H96"/>
    <mergeCell ref="J96:K96"/>
    <mergeCell ref="B97:D97"/>
    <mergeCell ref="E97:F97"/>
    <mergeCell ref="G97:H97"/>
    <mergeCell ref="J97:K97"/>
    <mergeCell ref="B98:D98"/>
    <mergeCell ref="E98:F98"/>
    <mergeCell ref="G98:H98"/>
    <mergeCell ref="J98:K98"/>
    <mergeCell ref="B99:D99"/>
    <mergeCell ref="E99:F99"/>
    <mergeCell ref="G99:H99"/>
    <mergeCell ref="J99:K99"/>
    <mergeCell ref="B100:D100"/>
    <mergeCell ref="E100:F100"/>
    <mergeCell ref="G100:H100"/>
    <mergeCell ref="J100:K100"/>
    <mergeCell ref="B101:D101"/>
    <mergeCell ref="E101:F101"/>
    <mergeCell ref="G101:H101"/>
    <mergeCell ref="J101:K101"/>
    <mergeCell ref="B102:D102"/>
    <mergeCell ref="E102:F102"/>
    <mergeCell ref="G102:H102"/>
    <mergeCell ref="J102:K102"/>
    <mergeCell ref="B103:D103"/>
    <mergeCell ref="E103:F103"/>
    <mergeCell ref="G103:H103"/>
    <mergeCell ref="J103:K103"/>
    <mergeCell ref="B104:D104"/>
    <mergeCell ref="E104:F104"/>
    <mergeCell ref="G104:H104"/>
    <mergeCell ref="J104:K104"/>
    <mergeCell ref="B105:D105"/>
    <mergeCell ref="E105:F105"/>
    <mergeCell ref="G105:H105"/>
    <mergeCell ref="J105:K105"/>
    <mergeCell ref="B106:D106"/>
    <mergeCell ref="E106:F106"/>
    <mergeCell ref="G106:H106"/>
    <mergeCell ref="J106:K106"/>
    <mergeCell ref="B108:K108"/>
    <mergeCell ref="B109:K109"/>
    <mergeCell ref="B111:D111"/>
    <mergeCell ref="E111:G111"/>
    <mergeCell ref="H111:J111"/>
    <mergeCell ref="B112:D112"/>
    <mergeCell ref="E112:G112"/>
    <mergeCell ref="H112:J112"/>
    <mergeCell ref="B113:D113"/>
    <mergeCell ref="E113:G113"/>
    <mergeCell ref="H113:J113"/>
    <mergeCell ref="B114:D114"/>
    <mergeCell ref="E114:G114"/>
    <mergeCell ref="H114:J114"/>
    <mergeCell ref="B115:D115"/>
    <mergeCell ref="E115:G115"/>
    <mergeCell ref="H115:J115"/>
    <mergeCell ref="B117:K117"/>
    <mergeCell ref="B118:K118"/>
    <mergeCell ref="B120:F120"/>
    <mergeCell ref="G120:H120"/>
    <mergeCell ref="B121:F121"/>
    <mergeCell ref="G121:H121"/>
    <mergeCell ref="B122:F122"/>
    <mergeCell ref="G122:H122"/>
    <mergeCell ref="B123:F123"/>
    <mergeCell ref="G123:H123"/>
    <mergeCell ref="B126:K126"/>
    <mergeCell ref="B127:K127"/>
    <mergeCell ref="B129:D129"/>
    <mergeCell ref="E129:F129"/>
    <mergeCell ref="G129:J129"/>
    <mergeCell ref="B130:D130"/>
    <mergeCell ref="E130:F130"/>
    <mergeCell ref="G130:J130"/>
    <mergeCell ref="B131:D131"/>
    <mergeCell ref="E131:F131"/>
    <mergeCell ref="G131:J131"/>
    <mergeCell ref="B132:D132"/>
    <mergeCell ref="E132:F132"/>
    <mergeCell ref="G132:J132"/>
    <mergeCell ref="B133:D133"/>
    <mergeCell ref="E133:F133"/>
    <mergeCell ref="G133:J133"/>
    <mergeCell ref="B134:D134"/>
    <mergeCell ref="E134:F134"/>
    <mergeCell ref="G134:J134"/>
    <mergeCell ref="B135:D135"/>
    <mergeCell ref="E135:F135"/>
    <mergeCell ref="G135:J135"/>
    <mergeCell ref="B136:D136"/>
    <mergeCell ref="E136:F136"/>
    <mergeCell ref="G136:J136"/>
    <mergeCell ref="B137:D137"/>
    <mergeCell ref="E137:F137"/>
    <mergeCell ref="G137:J137"/>
    <mergeCell ref="B139:K139"/>
    <mergeCell ref="B140:K140"/>
    <mergeCell ref="B142:D142"/>
    <mergeCell ref="E142:F142"/>
    <mergeCell ref="G142:J142"/>
    <mergeCell ref="B143:D143"/>
    <mergeCell ref="E143:F143"/>
    <mergeCell ref="G143:J143"/>
    <mergeCell ref="B144:D144"/>
    <mergeCell ref="E144:F144"/>
    <mergeCell ref="G144:J144"/>
    <mergeCell ref="B145:D145"/>
    <mergeCell ref="E145:F145"/>
    <mergeCell ref="G145:J145"/>
    <mergeCell ref="B146:D146"/>
    <mergeCell ref="E146:F146"/>
    <mergeCell ref="G146:J146"/>
    <mergeCell ref="B147:D147"/>
    <mergeCell ref="E147:F147"/>
    <mergeCell ref="G147:J147"/>
    <mergeCell ref="B148:D148"/>
    <mergeCell ref="E148:F148"/>
    <mergeCell ref="G148:J148"/>
    <mergeCell ref="B151:K151"/>
    <mergeCell ref="B173:K1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F46"/>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12"/>
    <col collapsed="false" customWidth="true" hidden="false" outlineLevel="0" max="4" min="4" style="0" width="18"/>
    <col collapsed="false" customWidth="true" hidden="false" outlineLevel="0" max="6" min="5" style="0" width="16"/>
    <col collapsed="false" customWidth="true" hidden="false" outlineLevel="0" max="7" min="7" style="0" width="20"/>
    <col collapsed="false" customWidth="true" hidden="false" outlineLevel="0" max="8" min="8" style="0" width="18"/>
    <col collapsed="false" customWidth="true" hidden="false" outlineLevel="0" max="9" min="9" style="0" width="16"/>
    <col collapsed="false" customWidth="true" hidden="false" outlineLevel="0" max="10" min="10" style="0" width="8"/>
    <col collapsed="false" customWidth="true" hidden="false" outlineLevel="0" max="12" min="11" style="0" width="10"/>
    <col collapsed="false" customWidth="true" hidden="false" outlineLevel="0" max="13" min="13" style="0" width="16"/>
    <col collapsed="false" customWidth="true" hidden="false" outlineLevel="0" max="14" min="14" style="0" width="14"/>
    <col collapsed="false" customWidth="true" hidden="false" outlineLevel="0" max="15" min="15" style="0" width="12"/>
    <col collapsed="false" customWidth="true" hidden="false" outlineLevel="0" max="16" min="16" style="0" width="10"/>
    <col collapsed="false" customWidth="true" hidden="false" outlineLevel="0" max="17" min="17" style="0" width="16"/>
    <col collapsed="false" customWidth="true" hidden="false" outlineLevel="0" max="18" min="18" style="0" width="18"/>
    <col collapsed="false" customWidth="true" hidden="false" outlineLevel="0" max="19" min="19" style="0" width="16"/>
    <col collapsed="false" customWidth="true" hidden="false" outlineLevel="0" max="20" min="20" style="0" width="34"/>
    <col collapsed="false" customWidth="true" hidden="false" outlineLevel="0" max="21" min="21" style="0" width="30"/>
    <col collapsed="false" customWidth="true" hidden="false" outlineLevel="0" max="22" min="22" style="0" width="20"/>
    <col collapsed="false" customWidth="true" hidden="false" outlineLevel="0" max="23" min="23" style="0" width="12"/>
    <col collapsed="false" customWidth="true" hidden="false" outlineLevel="0" max="26" min="24" style="0" width="16"/>
    <col collapsed="false" customWidth="true" hidden="false" outlineLevel="0" max="27" min="27" style="0" width="30"/>
    <col collapsed="false" customWidth="true" hidden="false" outlineLevel="0" max="29" min="28" style="0" width="12"/>
    <col collapsed="false" customWidth="true" hidden="false" outlineLevel="0" max="30" min="30" style="0" width="10"/>
    <col collapsed="false" customWidth="true" hidden="false" outlineLevel="0" max="31" min="31" style="0" width="14"/>
    <col collapsed="false" customWidth="true" hidden="false" outlineLevel="0" max="32" min="32" style="0" width="24"/>
  </cols>
  <sheetData>
    <row r="2" customFormat="false" ht="21.75" hidden="false" customHeight="true" outlineLevel="0" collapsed="false">
      <c r="B2" s="12" t="s">
        <v>451</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customFormat="false" ht="15" hidden="false" customHeight="true" outlineLevel="0" collapsed="false">
      <c r="B3" s="13" t="s">
        <v>452</v>
      </c>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row>
    <row r="5" customFormat="false" ht="30" hidden="false" customHeight="true" outlineLevel="0" collapsed="false">
      <c r="B5" s="31" t="s">
        <v>453</v>
      </c>
      <c r="C5" s="31"/>
      <c r="D5" s="31"/>
      <c r="E5" s="31"/>
      <c r="F5" s="31"/>
      <c r="G5" s="31"/>
      <c r="H5" s="19" t="s">
        <v>454</v>
      </c>
      <c r="I5" s="19"/>
      <c r="J5" s="19"/>
      <c r="K5" s="19"/>
      <c r="L5" s="19"/>
      <c r="M5" s="19"/>
      <c r="N5" s="19"/>
      <c r="O5" s="19"/>
      <c r="P5" s="19"/>
      <c r="Q5" s="19"/>
      <c r="R5" s="19"/>
      <c r="S5" s="19"/>
      <c r="T5" s="19"/>
      <c r="U5" s="19"/>
      <c r="V5" s="19"/>
      <c r="W5" s="19"/>
      <c r="X5" s="19"/>
      <c r="Y5" s="19"/>
      <c r="Z5" s="48" t="s">
        <v>455</v>
      </c>
      <c r="AA5" s="48"/>
      <c r="AB5" s="48"/>
      <c r="AC5" s="48"/>
      <c r="AD5" s="48"/>
      <c r="AE5" s="48"/>
      <c r="AF5" s="48"/>
    </row>
    <row r="6" customFormat="false" ht="43.5" hidden="false" customHeight="true" outlineLevel="0" collapsed="false">
      <c r="B6" s="15" t="s">
        <v>456</v>
      </c>
      <c r="C6" s="15" t="s">
        <v>457</v>
      </c>
      <c r="D6" s="15" t="s">
        <v>458</v>
      </c>
      <c r="E6" s="15" t="s">
        <v>459</v>
      </c>
      <c r="F6" s="15" t="s">
        <v>460</v>
      </c>
      <c r="G6" s="15" t="s">
        <v>461</v>
      </c>
      <c r="H6" s="15" t="s">
        <v>462</v>
      </c>
      <c r="I6" s="15" t="s">
        <v>463</v>
      </c>
      <c r="J6" s="15" t="s">
        <v>464</v>
      </c>
      <c r="K6" s="15" t="s">
        <v>465</v>
      </c>
      <c r="L6" s="15" t="s">
        <v>466</v>
      </c>
      <c r="M6" s="15" t="s">
        <v>467</v>
      </c>
      <c r="N6" s="15" t="s">
        <v>468</v>
      </c>
      <c r="O6" s="15" t="s">
        <v>416</v>
      </c>
      <c r="P6" s="15" t="s">
        <v>469</v>
      </c>
      <c r="Q6" s="15" t="s">
        <v>470</v>
      </c>
      <c r="R6" s="15" t="s">
        <v>471</v>
      </c>
      <c r="S6" s="15" t="s">
        <v>472</v>
      </c>
      <c r="T6" s="15" t="s">
        <v>473</v>
      </c>
      <c r="U6" s="15" t="s">
        <v>436</v>
      </c>
      <c r="V6" s="15" t="s">
        <v>474</v>
      </c>
      <c r="W6" s="15" t="s">
        <v>475</v>
      </c>
      <c r="X6" s="15" t="s">
        <v>476</v>
      </c>
      <c r="Y6" s="15" t="s">
        <v>477</v>
      </c>
      <c r="Z6" s="15" t="s">
        <v>478</v>
      </c>
      <c r="AA6" s="15" t="s">
        <v>479</v>
      </c>
      <c r="AB6" s="15" t="s">
        <v>413</v>
      </c>
      <c r="AC6" s="15" t="s">
        <v>480</v>
      </c>
      <c r="AD6" s="15" t="s">
        <v>481</v>
      </c>
      <c r="AE6" s="15" t="s">
        <v>482</v>
      </c>
      <c r="AF6" s="15" t="s">
        <v>483</v>
      </c>
    </row>
    <row r="7" customFormat="false" ht="21.75" hidden="false" customHeight="true" outlineLevel="0" collapsed="false">
      <c r="B7" s="49" t="n">
        <v>1</v>
      </c>
      <c r="C7" s="49"/>
      <c r="D7" s="49"/>
      <c r="E7" s="49"/>
      <c r="F7" s="49"/>
      <c r="G7" s="50"/>
      <c r="H7" s="49"/>
      <c r="I7" s="49"/>
      <c r="J7" s="49"/>
      <c r="K7" s="51" t="str">
        <f aca="false">IFERROR(IF(J7="","",IF(J7&lt;18,"Child",IF(J7&gt;=18,"Adult","Unknown"))),"")</f>
        <v/>
      </c>
      <c r="L7" s="49"/>
      <c r="M7" s="49"/>
      <c r="N7" s="49"/>
      <c r="O7" s="49"/>
      <c r="P7" s="49"/>
      <c r="Q7" s="49"/>
      <c r="R7" s="49"/>
      <c r="S7" s="50"/>
      <c r="T7" s="49"/>
      <c r="U7" s="50"/>
      <c r="V7" s="49"/>
      <c r="W7" s="49"/>
      <c r="X7" s="49"/>
      <c r="Y7" s="49"/>
      <c r="Z7" s="50"/>
      <c r="AA7" s="49"/>
      <c r="AB7" s="49"/>
      <c r="AC7" s="49"/>
      <c r="AD7" s="51" t="str">
        <f aca="false">IFERROR(IF(OR(C7="",AC7=""),"",AC7-C7),"")</f>
        <v/>
      </c>
      <c r="AE7" s="49"/>
      <c r="AF7" s="50"/>
    </row>
    <row r="8" customFormat="false" ht="21.75" hidden="false" customHeight="true" outlineLevel="0" collapsed="false">
      <c r="B8" s="49" t="n">
        <v>2</v>
      </c>
      <c r="C8" s="49"/>
      <c r="D8" s="49"/>
      <c r="E8" s="49"/>
      <c r="F8" s="49"/>
      <c r="G8" s="50"/>
      <c r="H8" s="49"/>
      <c r="I8" s="49"/>
      <c r="J8" s="49"/>
      <c r="K8" s="51" t="str">
        <f aca="false">IFERROR(IF(J8="","",IF(J8&lt;18,"Child",IF(J8&gt;=18,"Adult","Unknown"))),"")</f>
        <v/>
      </c>
      <c r="L8" s="49"/>
      <c r="M8" s="49"/>
      <c r="N8" s="49"/>
      <c r="O8" s="49"/>
      <c r="P8" s="49"/>
      <c r="Q8" s="49"/>
      <c r="R8" s="49"/>
      <c r="S8" s="50"/>
      <c r="T8" s="49"/>
      <c r="U8" s="50"/>
      <c r="V8" s="49"/>
      <c r="W8" s="49"/>
      <c r="X8" s="49"/>
      <c r="Y8" s="49"/>
      <c r="Z8" s="50"/>
      <c r="AA8" s="49"/>
      <c r="AB8" s="49"/>
      <c r="AC8" s="49"/>
      <c r="AD8" s="51" t="str">
        <f aca="false">IFERROR(IF(OR(C8="",AC8=""),"",AC8-C8),"")</f>
        <v/>
      </c>
      <c r="AE8" s="49"/>
      <c r="AF8" s="50"/>
    </row>
    <row r="9" customFormat="false" ht="21.75" hidden="false" customHeight="true" outlineLevel="0" collapsed="false">
      <c r="B9" s="49" t="n">
        <v>3</v>
      </c>
      <c r="C9" s="49"/>
      <c r="D9" s="49"/>
      <c r="E9" s="49"/>
      <c r="F9" s="49"/>
      <c r="G9" s="50"/>
      <c r="H9" s="49"/>
      <c r="I9" s="49"/>
      <c r="J9" s="49"/>
      <c r="K9" s="51" t="str">
        <f aca="false">IFERROR(IF(J9="","",IF(J9&lt;18,"Child",IF(J9&gt;=18,"Adult","Unknown"))),"")</f>
        <v/>
      </c>
      <c r="L9" s="49"/>
      <c r="M9" s="49"/>
      <c r="N9" s="49"/>
      <c r="O9" s="49"/>
      <c r="P9" s="49"/>
      <c r="Q9" s="49"/>
      <c r="R9" s="49"/>
      <c r="S9" s="50"/>
      <c r="T9" s="49"/>
      <c r="U9" s="50"/>
      <c r="V9" s="49"/>
      <c r="W9" s="49"/>
      <c r="X9" s="49"/>
      <c r="Y9" s="49"/>
      <c r="Z9" s="50"/>
      <c r="AA9" s="49"/>
      <c r="AB9" s="49"/>
      <c r="AC9" s="49"/>
      <c r="AD9" s="51" t="str">
        <f aca="false">IFERROR(IF(OR(C9="",AC9=""),"",AC9-C9),"")</f>
        <v/>
      </c>
      <c r="AE9" s="49"/>
      <c r="AF9" s="50"/>
    </row>
    <row r="10" customFormat="false" ht="21.75" hidden="false" customHeight="true" outlineLevel="0" collapsed="false">
      <c r="B10" s="49" t="n">
        <v>4</v>
      </c>
      <c r="C10" s="49"/>
      <c r="D10" s="49"/>
      <c r="E10" s="49"/>
      <c r="F10" s="49"/>
      <c r="G10" s="50"/>
      <c r="H10" s="49"/>
      <c r="I10" s="49"/>
      <c r="J10" s="49"/>
      <c r="K10" s="51" t="str">
        <f aca="false">IFERROR(IF(J10="","",IF(J10&lt;18,"Child",IF(J10&gt;=18,"Adult","Unknown"))),"")</f>
        <v/>
      </c>
      <c r="L10" s="49"/>
      <c r="M10" s="49"/>
      <c r="N10" s="49"/>
      <c r="O10" s="49"/>
      <c r="P10" s="49"/>
      <c r="Q10" s="49"/>
      <c r="R10" s="49"/>
      <c r="S10" s="50"/>
      <c r="T10" s="49"/>
      <c r="U10" s="50"/>
      <c r="V10" s="49"/>
      <c r="W10" s="49"/>
      <c r="X10" s="49"/>
      <c r="Y10" s="49"/>
      <c r="Z10" s="50"/>
      <c r="AA10" s="49"/>
      <c r="AB10" s="49"/>
      <c r="AC10" s="49"/>
      <c r="AD10" s="51" t="str">
        <f aca="false">IFERROR(IF(OR(C10="",AC10=""),"",AC10-C10),"")</f>
        <v/>
      </c>
      <c r="AE10" s="49"/>
      <c r="AF10" s="50"/>
    </row>
    <row r="11" customFormat="false" ht="21.75" hidden="false" customHeight="true" outlineLevel="0" collapsed="false">
      <c r="B11" s="49" t="n">
        <v>5</v>
      </c>
      <c r="C11" s="49"/>
      <c r="D11" s="49"/>
      <c r="E11" s="49"/>
      <c r="F11" s="49"/>
      <c r="G11" s="50"/>
      <c r="H11" s="49"/>
      <c r="I11" s="49"/>
      <c r="J11" s="49"/>
      <c r="K11" s="51" t="str">
        <f aca="false">IFERROR(IF(J11="","",IF(J11&lt;18,"Child",IF(J11&gt;=18,"Adult","Unknown"))),"")</f>
        <v/>
      </c>
      <c r="L11" s="49"/>
      <c r="M11" s="49"/>
      <c r="N11" s="49"/>
      <c r="O11" s="49"/>
      <c r="P11" s="49"/>
      <c r="Q11" s="49"/>
      <c r="R11" s="49"/>
      <c r="S11" s="50"/>
      <c r="T11" s="49"/>
      <c r="U11" s="50"/>
      <c r="V11" s="49"/>
      <c r="W11" s="49"/>
      <c r="X11" s="49"/>
      <c r="Y11" s="49"/>
      <c r="Z11" s="50"/>
      <c r="AA11" s="49"/>
      <c r="AB11" s="49"/>
      <c r="AC11" s="49"/>
      <c r="AD11" s="51" t="str">
        <f aca="false">IFERROR(IF(OR(C11="",AC11=""),"",AC11-C11),"")</f>
        <v/>
      </c>
      <c r="AE11" s="49"/>
      <c r="AF11" s="50"/>
    </row>
    <row r="12" customFormat="false" ht="21.75" hidden="false" customHeight="true" outlineLevel="0" collapsed="false">
      <c r="B12" s="49" t="n">
        <v>6</v>
      </c>
      <c r="C12" s="49"/>
      <c r="D12" s="49"/>
      <c r="E12" s="49"/>
      <c r="F12" s="49"/>
      <c r="G12" s="50"/>
      <c r="H12" s="49"/>
      <c r="I12" s="49"/>
      <c r="J12" s="49"/>
      <c r="K12" s="51" t="str">
        <f aca="false">IFERROR(IF(J12="","",IF(J12&lt;18,"Child",IF(J12&gt;=18,"Adult","Unknown"))),"")</f>
        <v/>
      </c>
      <c r="L12" s="49"/>
      <c r="M12" s="49"/>
      <c r="N12" s="49"/>
      <c r="O12" s="49"/>
      <c r="P12" s="49"/>
      <c r="Q12" s="49"/>
      <c r="R12" s="49"/>
      <c r="S12" s="50"/>
      <c r="T12" s="49"/>
      <c r="U12" s="50"/>
      <c r="V12" s="49"/>
      <c r="W12" s="49"/>
      <c r="X12" s="49"/>
      <c r="Y12" s="49"/>
      <c r="Z12" s="50"/>
      <c r="AA12" s="49"/>
      <c r="AB12" s="49"/>
      <c r="AC12" s="49"/>
      <c r="AD12" s="51" t="str">
        <f aca="false">IFERROR(IF(OR(C12="",AC12=""),"",AC12-C12),"")</f>
        <v/>
      </c>
      <c r="AE12" s="49"/>
      <c r="AF12" s="50"/>
    </row>
    <row r="13" customFormat="false" ht="21.75" hidden="false" customHeight="true" outlineLevel="0" collapsed="false">
      <c r="B13" s="49" t="n">
        <v>7</v>
      </c>
      <c r="C13" s="49"/>
      <c r="D13" s="49"/>
      <c r="E13" s="49"/>
      <c r="F13" s="49"/>
      <c r="G13" s="50"/>
      <c r="H13" s="49"/>
      <c r="I13" s="49"/>
      <c r="J13" s="49"/>
      <c r="K13" s="51" t="str">
        <f aca="false">IFERROR(IF(J13="","",IF(J13&lt;18,"Child",IF(J13&gt;=18,"Adult","Unknown"))),"")</f>
        <v/>
      </c>
      <c r="L13" s="49"/>
      <c r="M13" s="49"/>
      <c r="N13" s="49"/>
      <c r="O13" s="49"/>
      <c r="P13" s="49"/>
      <c r="Q13" s="49"/>
      <c r="R13" s="49"/>
      <c r="S13" s="50"/>
      <c r="T13" s="49"/>
      <c r="U13" s="50"/>
      <c r="V13" s="49"/>
      <c r="W13" s="49"/>
      <c r="X13" s="49"/>
      <c r="Y13" s="49"/>
      <c r="Z13" s="50"/>
      <c r="AA13" s="49"/>
      <c r="AB13" s="49"/>
      <c r="AC13" s="49"/>
      <c r="AD13" s="51" t="str">
        <f aca="false">IFERROR(IF(OR(C13="",AC13=""),"",AC13-C13),"")</f>
        <v/>
      </c>
      <c r="AE13" s="49"/>
      <c r="AF13" s="50"/>
    </row>
    <row r="14" customFormat="false" ht="21.75" hidden="false" customHeight="true" outlineLevel="0" collapsed="false">
      <c r="B14" s="49" t="n">
        <v>8</v>
      </c>
      <c r="C14" s="49"/>
      <c r="D14" s="49"/>
      <c r="E14" s="49"/>
      <c r="F14" s="49"/>
      <c r="G14" s="50"/>
      <c r="H14" s="49"/>
      <c r="I14" s="49"/>
      <c r="J14" s="49"/>
      <c r="K14" s="51" t="str">
        <f aca="false">IFERROR(IF(J14="","",IF(J14&lt;18,"Child",IF(J14&gt;=18,"Adult","Unknown"))),"")</f>
        <v/>
      </c>
      <c r="L14" s="49"/>
      <c r="M14" s="49"/>
      <c r="N14" s="49"/>
      <c r="O14" s="49"/>
      <c r="P14" s="49"/>
      <c r="Q14" s="49"/>
      <c r="R14" s="49"/>
      <c r="S14" s="50"/>
      <c r="T14" s="49"/>
      <c r="U14" s="50"/>
      <c r="V14" s="49"/>
      <c r="W14" s="49"/>
      <c r="X14" s="49"/>
      <c r="Y14" s="49"/>
      <c r="Z14" s="50"/>
      <c r="AA14" s="49"/>
      <c r="AB14" s="49"/>
      <c r="AC14" s="49"/>
      <c r="AD14" s="51" t="str">
        <f aca="false">IFERROR(IF(OR(C14="",AC14=""),"",AC14-C14),"")</f>
        <v/>
      </c>
      <c r="AE14" s="49"/>
      <c r="AF14" s="50"/>
    </row>
    <row r="15" customFormat="false" ht="21.75" hidden="false" customHeight="true" outlineLevel="0" collapsed="false">
      <c r="B15" s="49" t="n">
        <v>9</v>
      </c>
      <c r="C15" s="49"/>
      <c r="D15" s="49"/>
      <c r="E15" s="49"/>
      <c r="F15" s="49"/>
      <c r="G15" s="50"/>
      <c r="H15" s="49"/>
      <c r="I15" s="49"/>
      <c r="J15" s="49"/>
      <c r="K15" s="51" t="str">
        <f aca="false">IFERROR(IF(J15="","",IF(J15&lt;18,"Child",IF(J15&gt;=18,"Adult","Unknown"))),"")</f>
        <v/>
      </c>
      <c r="L15" s="49"/>
      <c r="M15" s="49"/>
      <c r="N15" s="49"/>
      <c r="O15" s="49"/>
      <c r="P15" s="49"/>
      <c r="Q15" s="49"/>
      <c r="R15" s="49"/>
      <c r="S15" s="50"/>
      <c r="T15" s="49"/>
      <c r="U15" s="50"/>
      <c r="V15" s="49"/>
      <c r="W15" s="49"/>
      <c r="X15" s="49"/>
      <c r="Y15" s="49"/>
      <c r="Z15" s="50"/>
      <c r="AA15" s="49"/>
      <c r="AB15" s="49"/>
      <c r="AC15" s="49"/>
      <c r="AD15" s="51" t="str">
        <f aca="false">IFERROR(IF(OR(C15="",AC15=""),"",AC15-C15),"")</f>
        <v/>
      </c>
      <c r="AE15" s="49"/>
      <c r="AF15" s="50"/>
    </row>
    <row r="16" customFormat="false" ht="21.75" hidden="false" customHeight="true" outlineLevel="0" collapsed="false">
      <c r="B16" s="49" t="n">
        <v>10</v>
      </c>
      <c r="C16" s="49"/>
      <c r="D16" s="49"/>
      <c r="E16" s="49"/>
      <c r="F16" s="49"/>
      <c r="G16" s="50"/>
      <c r="H16" s="49"/>
      <c r="I16" s="49"/>
      <c r="J16" s="49"/>
      <c r="K16" s="51" t="str">
        <f aca="false">IFERROR(IF(J16="","",IF(J16&lt;18,"Child",IF(J16&gt;=18,"Adult","Unknown"))),"")</f>
        <v/>
      </c>
      <c r="L16" s="49"/>
      <c r="M16" s="49"/>
      <c r="N16" s="49"/>
      <c r="O16" s="49"/>
      <c r="P16" s="49"/>
      <c r="Q16" s="49"/>
      <c r="R16" s="49"/>
      <c r="S16" s="50"/>
      <c r="T16" s="49"/>
      <c r="U16" s="50"/>
      <c r="V16" s="49"/>
      <c r="W16" s="49"/>
      <c r="X16" s="49"/>
      <c r="Y16" s="49"/>
      <c r="Z16" s="50"/>
      <c r="AA16" s="49"/>
      <c r="AB16" s="49"/>
      <c r="AC16" s="49"/>
      <c r="AD16" s="51" t="str">
        <f aca="false">IFERROR(IF(OR(C16="",AC16=""),"",AC16-C16),"")</f>
        <v/>
      </c>
      <c r="AE16" s="49"/>
      <c r="AF16" s="50"/>
    </row>
    <row r="17" customFormat="false" ht="21.75" hidden="false" customHeight="true" outlineLevel="0" collapsed="false">
      <c r="B17" s="49" t="n">
        <v>11</v>
      </c>
      <c r="C17" s="49"/>
      <c r="D17" s="49"/>
      <c r="E17" s="49"/>
      <c r="F17" s="49"/>
      <c r="G17" s="50"/>
      <c r="H17" s="49"/>
      <c r="I17" s="49"/>
      <c r="J17" s="49"/>
      <c r="K17" s="51" t="str">
        <f aca="false">IFERROR(IF(J17="","",IF(J17&lt;18,"Child",IF(J17&gt;=18,"Adult","Unknown"))),"")</f>
        <v/>
      </c>
      <c r="L17" s="49"/>
      <c r="M17" s="49"/>
      <c r="N17" s="49"/>
      <c r="O17" s="49"/>
      <c r="P17" s="49"/>
      <c r="Q17" s="49"/>
      <c r="R17" s="49"/>
      <c r="S17" s="50"/>
      <c r="T17" s="49"/>
      <c r="U17" s="50"/>
      <c r="V17" s="49"/>
      <c r="W17" s="49"/>
      <c r="X17" s="49"/>
      <c r="Y17" s="49"/>
      <c r="Z17" s="50"/>
      <c r="AA17" s="49"/>
      <c r="AB17" s="49"/>
      <c r="AC17" s="49"/>
      <c r="AD17" s="51" t="str">
        <f aca="false">IFERROR(IF(OR(C17="",AC17=""),"",AC17-C17),"")</f>
        <v/>
      </c>
      <c r="AE17" s="49"/>
      <c r="AF17" s="50"/>
    </row>
    <row r="18" customFormat="false" ht="21.75" hidden="false" customHeight="true" outlineLevel="0" collapsed="false">
      <c r="B18" s="49" t="n">
        <v>12</v>
      </c>
      <c r="C18" s="49"/>
      <c r="D18" s="49"/>
      <c r="E18" s="49"/>
      <c r="F18" s="49"/>
      <c r="G18" s="50"/>
      <c r="H18" s="49"/>
      <c r="I18" s="49"/>
      <c r="J18" s="49"/>
      <c r="K18" s="51" t="str">
        <f aca="false">IFERROR(IF(J18="","",IF(J18&lt;18,"Child",IF(J18&gt;=18,"Adult","Unknown"))),"")</f>
        <v/>
      </c>
      <c r="L18" s="49"/>
      <c r="M18" s="49"/>
      <c r="N18" s="49"/>
      <c r="O18" s="49"/>
      <c r="P18" s="49"/>
      <c r="Q18" s="49"/>
      <c r="R18" s="49"/>
      <c r="S18" s="50"/>
      <c r="T18" s="49"/>
      <c r="U18" s="50"/>
      <c r="V18" s="49"/>
      <c r="W18" s="49"/>
      <c r="X18" s="49"/>
      <c r="Y18" s="49"/>
      <c r="Z18" s="50"/>
      <c r="AA18" s="49"/>
      <c r="AB18" s="49"/>
      <c r="AC18" s="49"/>
      <c r="AD18" s="51" t="str">
        <f aca="false">IFERROR(IF(OR(C18="",AC18=""),"",AC18-C18),"")</f>
        <v/>
      </c>
      <c r="AE18" s="49"/>
      <c r="AF18" s="50"/>
    </row>
    <row r="19" customFormat="false" ht="21.75" hidden="false" customHeight="true" outlineLevel="0" collapsed="false">
      <c r="B19" s="49" t="n">
        <v>13</v>
      </c>
      <c r="C19" s="49"/>
      <c r="D19" s="49"/>
      <c r="E19" s="49"/>
      <c r="F19" s="49"/>
      <c r="G19" s="50"/>
      <c r="H19" s="49"/>
      <c r="I19" s="49"/>
      <c r="J19" s="49"/>
      <c r="K19" s="51" t="str">
        <f aca="false">IFERROR(IF(J19="","",IF(J19&lt;18,"Child",IF(J19&gt;=18,"Adult","Unknown"))),"")</f>
        <v/>
      </c>
      <c r="L19" s="49"/>
      <c r="M19" s="49"/>
      <c r="N19" s="49"/>
      <c r="O19" s="49"/>
      <c r="P19" s="49"/>
      <c r="Q19" s="49"/>
      <c r="R19" s="49"/>
      <c r="S19" s="50"/>
      <c r="T19" s="49"/>
      <c r="U19" s="50"/>
      <c r="V19" s="49"/>
      <c r="W19" s="49"/>
      <c r="X19" s="49"/>
      <c r="Y19" s="49"/>
      <c r="Z19" s="50"/>
      <c r="AA19" s="49"/>
      <c r="AB19" s="49"/>
      <c r="AC19" s="49"/>
      <c r="AD19" s="51" t="str">
        <f aca="false">IFERROR(IF(OR(C19="",AC19=""),"",AC19-C19),"")</f>
        <v/>
      </c>
      <c r="AE19" s="49"/>
      <c r="AF19" s="50"/>
    </row>
    <row r="20" customFormat="false" ht="21.75" hidden="false" customHeight="true" outlineLevel="0" collapsed="false">
      <c r="B20" s="49" t="n">
        <v>14</v>
      </c>
      <c r="C20" s="49"/>
      <c r="D20" s="49"/>
      <c r="E20" s="49"/>
      <c r="F20" s="49"/>
      <c r="G20" s="50"/>
      <c r="H20" s="49"/>
      <c r="I20" s="49"/>
      <c r="J20" s="49"/>
      <c r="K20" s="51" t="str">
        <f aca="false">IFERROR(IF(J20="","",IF(J20&lt;18,"Child",IF(J20&gt;=18,"Adult","Unknown"))),"")</f>
        <v/>
      </c>
      <c r="L20" s="49"/>
      <c r="M20" s="49"/>
      <c r="N20" s="49"/>
      <c r="O20" s="49"/>
      <c r="P20" s="49"/>
      <c r="Q20" s="49"/>
      <c r="R20" s="49"/>
      <c r="S20" s="50"/>
      <c r="T20" s="49"/>
      <c r="U20" s="50"/>
      <c r="V20" s="49"/>
      <c r="W20" s="49"/>
      <c r="X20" s="49"/>
      <c r="Y20" s="49"/>
      <c r="Z20" s="50"/>
      <c r="AA20" s="49"/>
      <c r="AB20" s="49"/>
      <c r="AC20" s="49"/>
      <c r="AD20" s="51" t="str">
        <f aca="false">IFERROR(IF(OR(C20="",AC20=""),"",AC20-C20),"")</f>
        <v/>
      </c>
      <c r="AE20" s="49"/>
      <c r="AF20" s="50"/>
    </row>
    <row r="21" customFormat="false" ht="21.75" hidden="false" customHeight="true" outlineLevel="0" collapsed="false">
      <c r="B21" s="49" t="n">
        <v>15</v>
      </c>
      <c r="C21" s="49"/>
      <c r="D21" s="49"/>
      <c r="E21" s="49"/>
      <c r="F21" s="49"/>
      <c r="G21" s="50"/>
      <c r="H21" s="49"/>
      <c r="I21" s="49"/>
      <c r="J21" s="49"/>
      <c r="K21" s="51" t="str">
        <f aca="false">IFERROR(IF(J21="","",IF(J21&lt;18,"Child",IF(J21&gt;=18,"Adult","Unknown"))),"")</f>
        <v/>
      </c>
      <c r="L21" s="49"/>
      <c r="M21" s="49"/>
      <c r="N21" s="49"/>
      <c r="O21" s="49"/>
      <c r="P21" s="49"/>
      <c r="Q21" s="49"/>
      <c r="R21" s="49"/>
      <c r="S21" s="50"/>
      <c r="T21" s="49"/>
      <c r="U21" s="50"/>
      <c r="V21" s="49"/>
      <c r="W21" s="49"/>
      <c r="X21" s="49"/>
      <c r="Y21" s="49"/>
      <c r="Z21" s="50"/>
      <c r="AA21" s="49"/>
      <c r="AB21" s="49"/>
      <c r="AC21" s="49"/>
      <c r="AD21" s="51" t="str">
        <f aca="false">IFERROR(IF(OR(C21="",AC21=""),"",AC21-C21),"")</f>
        <v/>
      </c>
      <c r="AE21" s="49"/>
      <c r="AF21" s="50"/>
    </row>
    <row r="22" customFormat="false" ht="21.75" hidden="false" customHeight="true" outlineLevel="0" collapsed="false">
      <c r="B22" s="49" t="n">
        <v>16</v>
      </c>
      <c r="C22" s="49"/>
      <c r="D22" s="49"/>
      <c r="E22" s="49"/>
      <c r="F22" s="49"/>
      <c r="G22" s="50"/>
      <c r="H22" s="49"/>
      <c r="I22" s="49"/>
      <c r="J22" s="49"/>
      <c r="K22" s="51" t="str">
        <f aca="false">IFERROR(IF(J22="","",IF(J22&lt;18,"Child",IF(J22&gt;=18,"Adult","Unknown"))),"")</f>
        <v/>
      </c>
      <c r="L22" s="49"/>
      <c r="M22" s="49"/>
      <c r="N22" s="49"/>
      <c r="O22" s="49"/>
      <c r="P22" s="49"/>
      <c r="Q22" s="49"/>
      <c r="R22" s="49"/>
      <c r="S22" s="50"/>
      <c r="T22" s="49"/>
      <c r="U22" s="50"/>
      <c r="V22" s="49"/>
      <c r="W22" s="49"/>
      <c r="X22" s="49"/>
      <c r="Y22" s="49"/>
      <c r="Z22" s="50"/>
      <c r="AA22" s="49"/>
      <c r="AB22" s="49"/>
      <c r="AC22" s="49"/>
      <c r="AD22" s="51" t="str">
        <f aca="false">IFERROR(IF(OR(C22="",AC22=""),"",AC22-C22),"")</f>
        <v/>
      </c>
      <c r="AE22" s="49"/>
      <c r="AF22" s="50"/>
    </row>
    <row r="23" customFormat="false" ht="21.75" hidden="false" customHeight="true" outlineLevel="0" collapsed="false">
      <c r="B23" s="49" t="n">
        <v>17</v>
      </c>
      <c r="C23" s="49"/>
      <c r="D23" s="49"/>
      <c r="E23" s="49"/>
      <c r="F23" s="49"/>
      <c r="G23" s="50"/>
      <c r="H23" s="49"/>
      <c r="I23" s="49"/>
      <c r="J23" s="49"/>
      <c r="K23" s="51" t="str">
        <f aca="false">IFERROR(IF(J23="","",IF(J23&lt;18,"Child",IF(J23&gt;=18,"Adult","Unknown"))),"")</f>
        <v/>
      </c>
      <c r="L23" s="49"/>
      <c r="M23" s="49"/>
      <c r="N23" s="49"/>
      <c r="O23" s="49"/>
      <c r="P23" s="49"/>
      <c r="Q23" s="49"/>
      <c r="R23" s="49"/>
      <c r="S23" s="50"/>
      <c r="T23" s="49"/>
      <c r="U23" s="50"/>
      <c r="V23" s="49"/>
      <c r="W23" s="49"/>
      <c r="X23" s="49"/>
      <c r="Y23" s="49"/>
      <c r="Z23" s="50"/>
      <c r="AA23" s="49"/>
      <c r="AB23" s="49"/>
      <c r="AC23" s="49"/>
      <c r="AD23" s="51" t="str">
        <f aca="false">IFERROR(IF(OR(C23="",AC23=""),"",AC23-C23),"")</f>
        <v/>
      </c>
      <c r="AE23" s="49"/>
      <c r="AF23" s="50"/>
    </row>
    <row r="24" customFormat="false" ht="21.75" hidden="false" customHeight="true" outlineLevel="0" collapsed="false">
      <c r="B24" s="49" t="n">
        <v>18</v>
      </c>
      <c r="C24" s="49"/>
      <c r="D24" s="49"/>
      <c r="E24" s="49"/>
      <c r="F24" s="49"/>
      <c r="G24" s="50"/>
      <c r="H24" s="49"/>
      <c r="I24" s="49"/>
      <c r="J24" s="49"/>
      <c r="K24" s="51" t="str">
        <f aca="false">IFERROR(IF(J24="","",IF(J24&lt;18,"Child",IF(J24&gt;=18,"Adult","Unknown"))),"")</f>
        <v/>
      </c>
      <c r="L24" s="49"/>
      <c r="M24" s="49"/>
      <c r="N24" s="49"/>
      <c r="O24" s="49"/>
      <c r="P24" s="49"/>
      <c r="Q24" s="49"/>
      <c r="R24" s="49"/>
      <c r="S24" s="50"/>
      <c r="T24" s="49"/>
      <c r="U24" s="50"/>
      <c r="V24" s="49"/>
      <c r="W24" s="49"/>
      <c r="X24" s="49"/>
      <c r="Y24" s="49"/>
      <c r="Z24" s="50"/>
      <c r="AA24" s="49"/>
      <c r="AB24" s="49"/>
      <c r="AC24" s="49"/>
      <c r="AD24" s="51" t="str">
        <f aca="false">IFERROR(IF(OR(C24="",AC24=""),"",AC24-C24),"")</f>
        <v/>
      </c>
      <c r="AE24" s="49"/>
      <c r="AF24" s="50"/>
    </row>
    <row r="25" customFormat="false" ht="21.75" hidden="false" customHeight="true" outlineLevel="0" collapsed="false">
      <c r="B25" s="49" t="n">
        <v>19</v>
      </c>
      <c r="C25" s="49"/>
      <c r="D25" s="49"/>
      <c r="E25" s="49"/>
      <c r="F25" s="49"/>
      <c r="G25" s="50"/>
      <c r="H25" s="49"/>
      <c r="I25" s="49"/>
      <c r="J25" s="49"/>
      <c r="K25" s="51" t="str">
        <f aca="false">IFERROR(IF(J25="","",IF(J25&lt;18,"Child",IF(J25&gt;=18,"Adult","Unknown"))),"")</f>
        <v/>
      </c>
      <c r="L25" s="49"/>
      <c r="M25" s="49"/>
      <c r="N25" s="49"/>
      <c r="O25" s="49"/>
      <c r="P25" s="49"/>
      <c r="Q25" s="49"/>
      <c r="R25" s="49"/>
      <c r="S25" s="50"/>
      <c r="T25" s="49"/>
      <c r="U25" s="50"/>
      <c r="V25" s="49"/>
      <c r="W25" s="49"/>
      <c r="X25" s="49"/>
      <c r="Y25" s="49"/>
      <c r="Z25" s="50"/>
      <c r="AA25" s="49"/>
      <c r="AB25" s="49"/>
      <c r="AC25" s="49"/>
      <c r="AD25" s="51" t="str">
        <f aca="false">IFERROR(IF(OR(C25="",AC25=""),"",AC25-C25),"")</f>
        <v/>
      </c>
      <c r="AE25" s="49"/>
      <c r="AF25" s="50"/>
    </row>
    <row r="26" customFormat="false" ht="21.75" hidden="false" customHeight="true" outlineLevel="0" collapsed="false">
      <c r="B26" s="49" t="n">
        <v>20</v>
      </c>
      <c r="C26" s="49"/>
      <c r="D26" s="49"/>
      <c r="E26" s="49"/>
      <c r="F26" s="49"/>
      <c r="G26" s="50"/>
      <c r="H26" s="49"/>
      <c r="I26" s="49"/>
      <c r="J26" s="49"/>
      <c r="K26" s="51" t="str">
        <f aca="false">IFERROR(IF(J26="","",IF(J26&lt;18,"Child",IF(J26&gt;=18,"Adult","Unknown"))),"")</f>
        <v/>
      </c>
      <c r="L26" s="49"/>
      <c r="M26" s="49"/>
      <c r="N26" s="49"/>
      <c r="O26" s="49"/>
      <c r="P26" s="49"/>
      <c r="Q26" s="49"/>
      <c r="R26" s="49"/>
      <c r="S26" s="50"/>
      <c r="T26" s="49"/>
      <c r="U26" s="50"/>
      <c r="V26" s="49"/>
      <c r="W26" s="49"/>
      <c r="X26" s="49"/>
      <c r="Y26" s="49"/>
      <c r="Z26" s="50"/>
      <c r="AA26" s="49"/>
      <c r="AB26" s="49"/>
      <c r="AC26" s="49"/>
      <c r="AD26" s="51" t="str">
        <f aca="false">IFERROR(IF(OR(C26="",AC26=""),"",AC26-C26),"")</f>
        <v/>
      </c>
      <c r="AE26" s="49"/>
      <c r="AF26" s="50"/>
    </row>
    <row r="27" customFormat="false" ht="21.75" hidden="false" customHeight="true" outlineLevel="0" collapsed="false">
      <c r="B27" s="49" t="n">
        <v>21</v>
      </c>
      <c r="C27" s="49"/>
      <c r="D27" s="49"/>
      <c r="E27" s="49"/>
      <c r="F27" s="49"/>
      <c r="G27" s="50"/>
      <c r="H27" s="49"/>
      <c r="I27" s="49"/>
      <c r="J27" s="49"/>
      <c r="K27" s="51" t="str">
        <f aca="false">IFERROR(IF(J27="","",IF(J27&lt;18,"Child",IF(J27&gt;=18,"Adult","Unknown"))),"")</f>
        <v/>
      </c>
      <c r="L27" s="49"/>
      <c r="M27" s="49"/>
      <c r="N27" s="49"/>
      <c r="O27" s="49"/>
      <c r="P27" s="49"/>
      <c r="Q27" s="49"/>
      <c r="R27" s="49"/>
      <c r="S27" s="50"/>
      <c r="T27" s="49"/>
      <c r="U27" s="50"/>
      <c r="V27" s="49"/>
      <c r="W27" s="49"/>
      <c r="X27" s="49"/>
      <c r="Y27" s="49"/>
      <c r="Z27" s="50"/>
      <c r="AA27" s="49"/>
      <c r="AB27" s="49"/>
      <c r="AC27" s="49"/>
      <c r="AD27" s="51" t="str">
        <f aca="false">IFERROR(IF(OR(C27="",AC27=""),"",AC27-C27),"")</f>
        <v/>
      </c>
      <c r="AE27" s="49"/>
      <c r="AF27" s="50"/>
    </row>
    <row r="28" customFormat="false" ht="21.75" hidden="false" customHeight="true" outlineLevel="0" collapsed="false">
      <c r="B28" s="49" t="n">
        <v>22</v>
      </c>
      <c r="C28" s="49"/>
      <c r="D28" s="49"/>
      <c r="E28" s="49"/>
      <c r="F28" s="49"/>
      <c r="G28" s="50"/>
      <c r="H28" s="49"/>
      <c r="I28" s="49"/>
      <c r="J28" s="49"/>
      <c r="K28" s="51" t="str">
        <f aca="false">IFERROR(IF(J28="","",IF(J28&lt;18,"Child",IF(J28&gt;=18,"Adult","Unknown"))),"")</f>
        <v/>
      </c>
      <c r="L28" s="49"/>
      <c r="M28" s="49"/>
      <c r="N28" s="49"/>
      <c r="O28" s="49"/>
      <c r="P28" s="49"/>
      <c r="Q28" s="49"/>
      <c r="R28" s="49"/>
      <c r="S28" s="50"/>
      <c r="T28" s="49"/>
      <c r="U28" s="50"/>
      <c r="V28" s="49"/>
      <c r="W28" s="49"/>
      <c r="X28" s="49"/>
      <c r="Y28" s="49"/>
      <c r="Z28" s="50"/>
      <c r="AA28" s="49"/>
      <c r="AB28" s="49"/>
      <c r="AC28" s="49"/>
      <c r="AD28" s="51" t="str">
        <f aca="false">IFERROR(IF(OR(C28="",AC28=""),"",AC28-C28),"")</f>
        <v/>
      </c>
      <c r="AE28" s="49"/>
      <c r="AF28" s="50"/>
    </row>
    <row r="29" customFormat="false" ht="21.75" hidden="false" customHeight="true" outlineLevel="0" collapsed="false">
      <c r="B29" s="49" t="n">
        <v>23</v>
      </c>
      <c r="C29" s="49"/>
      <c r="D29" s="49"/>
      <c r="E29" s="49"/>
      <c r="F29" s="49"/>
      <c r="G29" s="50"/>
      <c r="H29" s="49"/>
      <c r="I29" s="49"/>
      <c r="J29" s="49"/>
      <c r="K29" s="51" t="str">
        <f aca="false">IFERROR(IF(J29="","",IF(J29&lt;18,"Child",IF(J29&gt;=18,"Adult","Unknown"))),"")</f>
        <v/>
      </c>
      <c r="L29" s="49"/>
      <c r="M29" s="49"/>
      <c r="N29" s="49"/>
      <c r="O29" s="49"/>
      <c r="P29" s="49"/>
      <c r="Q29" s="49"/>
      <c r="R29" s="49"/>
      <c r="S29" s="50"/>
      <c r="T29" s="49"/>
      <c r="U29" s="50"/>
      <c r="V29" s="49"/>
      <c r="W29" s="49"/>
      <c r="X29" s="49"/>
      <c r="Y29" s="49"/>
      <c r="Z29" s="50"/>
      <c r="AA29" s="49"/>
      <c r="AB29" s="49"/>
      <c r="AC29" s="49"/>
      <c r="AD29" s="51" t="str">
        <f aca="false">IFERROR(IF(OR(C29="",AC29=""),"",AC29-C29),"")</f>
        <v/>
      </c>
      <c r="AE29" s="49"/>
      <c r="AF29" s="50"/>
    </row>
    <row r="30" customFormat="false" ht="21.75" hidden="false" customHeight="true" outlineLevel="0" collapsed="false">
      <c r="B30" s="49" t="n">
        <v>24</v>
      </c>
      <c r="C30" s="49"/>
      <c r="D30" s="49"/>
      <c r="E30" s="49"/>
      <c r="F30" s="49"/>
      <c r="G30" s="50"/>
      <c r="H30" s="49"/>
      <c r="I30" s="49"/>
      <c r="J30" s="49"/>
      <c r="K30" s="51" t="str">
        <f aca="false">IFERROR(IF(J30="","",IF(J30&lt;18,"Child",IF(J30&gt;=18,"Adult","Unknown"))),"")</f>
        <v/>
      </c>
      <c r="L30" s="49"/>
      <c r="M30" s="49"/>
      <c r="N30" s="49"/>
      <c r="O30" s="49"/>
      <c r="P30" s="49"/>
      <c r="Q30" s="49"/>
      <c r="R30" s="49"/>
      <c r="S30" s="50"/>
      <c r="T30" s="49"/>
      <c r="U30" s="50"/>
      <c r="V30" s="49"/>
      <c r="W30" s="49"/>
      <c r="X30" s="49"/>
      <c r="Y30" s="49"/>
      <c r="Z30" s="50"/>
      <c r="AA30" s="49"/>
      <c r="AB30" s="49"/>
      <c r="AC30" s="49"/>
      <c r="AD30" s="51" t="str">
        <f aca="false">IFERROR(IF(OR(C30="",AC30=""),"",AC30-C30),"")</f>
        <v/>
      </c>
      <c r="AE30" s="49"/>
      <c r="AF30" s="50"/>
    </row>
    <row r="31" customFormat="false" ht="21.75" hidden="false" customHeight="true" outlineLevel="0" collapsed="false">
      <c r="B31" s="49" t="n">
        <v>25</v>
      </c>
      <c r="C31" s="49"/>
      <c r="D31" s="49"/>
      <c r="E31" s="49"/>
      <c r="F31" s="49"/>
      <c r="G31" s="50"/>
      <c r="H31" s="49"/>
      <c r="I31" s="49"/>
      <c r="J31" s="49"/>
      <c r="K31" s="51" t="str">
        <f aca="false">IFERROR(IF(J31="","",IF(J31&lt;18,"Child",IF(J31&gt;=18,"Adult","Unknown"))),"")</f>
        <v/>
      </c>
      <c r="L31" s="49"/>
      <c r="M31" s="49"/>
      <c r="N31" s="49"/>
      <c r="O31" s="49"/>
      <c r="P31" s="49"/>
      <c r="Q31" s="49"/>
      <c r="R31" s="49"/>
      <c r="S31" s="50"/>
      <c r="T31" s="49"/>
      <c r="U31" s="50"/>
      <c r="V31" s="49"/>
      <c r="W31" s="49"/>
      <c r="X31" s="49"/>
      <c r="Y31" s="49"/>
      <c r="Z31" s="50"/>
      <c r="AA31" s="49"/>
      <c r="AB31" s="49"/>
      <c r="AC31" s="49"/>
      <c r="AD31" s="51" t="str">
        <f aca="false">IFERROR(IF(OR(C31="",AC31=""),"",AC31-C31),"")</f>
        <v/>
      </c>
      <c r="AE31" s="49"/>
      <c r="AF31" s="50"/>
    </row>
    <row r="32" customFormat="false" ht="21.75" hidden="false" customHeight="true" outlineLevel="0" collapsed="false">
      <c r="B32" s="49" t="n">
        <v>26</v>
      </c>
      <c r="C32" s="49"/>
      <c r="D32" s="49"/>
      <c r="E32" s="49"/>
      <c r="F32" s="49"/>
      <c r="G32" s="50"/>
      <c r="H32" s="49"/>
      <c r="I32" s="49"/>
      <c r="J32" s="49"/>
      <c r="K32" s="51" t="str">
        <f aca="false">IFERROR(IF(J32="","",IF(J32&lt;18,"Child",IF(J32&gt;=18,"Adult","Unknown"))),"")</f>
        <v/>
      </c>
      <c r="L32" s="49"/>
      <c r="M32" s="49"/>
      <c r="N32" s="49"/>
      <c r="O32" s="49"/>
      <c r="P32" s="49"/>
      <c r="Q32" s="49"/>
      <c r="R32" s="49"/>
      <c r="S32" s="50"/>
      <c r="T32" s="49"/>
      <c r="U32" s="50"/>
      <c r="V32" s="49"/>
      <c r="W32" s="49"/>
      <c r="X32" s="49"/>
      <c r="Y32" s="49"/>
      <c r="Z32" s="50"/>
      <c r="AA32" s="49"/>
      <c r="AB32" s="49"/>
      <c r="AC32" s="49"/>
      <c r="AD32" s="51" t="str">
        <f aca="false">IFERROR(IF(OR(C32="",AC32=""),"",AC32-C32),"")</f>
        <v/>
      </c>
      <c r="AE32" s="49"/>
      <c r="AF32" s="50"/>
    </row>
    <row r="33" customFormat="false" ht="21.75" hidden="false" customHeight="true" outlineLevel="0" collapsed="false">
      <c r="B33" s="49" t="n">
        <v>27</v>
      </c>
      <c r="C33" s="49"/>
      <c r="D33" s="49"/>
      <c r="E33" s="49"/>
      <c r="F33" s="49"/>
      <c r="G33" s="50"/>
      <c r="H33" s="49"/>
      <c r="I33" s="49"/>
      <c r="J33" s="49"/>
      <c r="K33" s="51" t="str">
        <f aca="false">IFERROR(IF(J33="","",IF(J33&lt;18,"Child",IF(J33&gt;=18,"Adult","Unknown"))),"")</f>
        <v/>
      </c>
      <c r="L33" s="49"/>
      <c r="M33" s="49"/>
      <c r="N33" s="49"/>
      <c r="O33" s="49"/>
      <c r="P33" s="49"/>
      <c r="Q33" s="49"/>
      <c r="R33" s="49"/>
      <c r="S33" s="50"/>
      <c r="T33" s="49"/>
      <c r="U33" s="50"/>
      <c r="V33" s="49"/>
      <c r="W33" s="49"/>
      <c r="X33" s="49"/>
      <c r="Y33" s="49"/>
      <c r="Z33" s="50"/>
      <c r="AA33" s="49"/>
      <c r="AB33" s="49"/>
      <c r="AC33" s="49"/>
      <c r="AD33" s="51" t="str">
        <f aca="false">IFERROR(IF(OR(C33="",AC33=""),"",AC33-C33),"")</f>
        <v/>
      </c>
      <c r="AE33" s="49"/>
      <c r="AF33" s="50"/>
    </row>
    <row r="34" customFormat="false" ht="21.75" hidden="false" customHeight="true" outlineLevel="0" collapsed="false">
      <c r="B34" s="49" t="n">
        <v>28</v>
      </c>
      <c r="C34" s="49"/>
      <c r="D34" s="49"/>
      <c r="E34" s="49"/>
      <c r="F34" s="49"/>
      <c r="G34" s="50"/>
      <c r="H34" s="49"/>
      <c r="I34" s="49"/>
      <c r="J34" s="49"/>
      <c r="K34" s="51" t="str">
        <f aca="false">IFERROR(IF(J34="","",IF(J34&lt;18,"Child",IF(J34&gt;=18,"Adult","Unknown"))),"")</f>
        <v/>
      </c>
      <c r="L34" s="49"/>
      <c r="M34" s="49"/>
      <c r="N34" s="49"/>
      <c r="O34" s="49"/>
      <c r="P34" s="49"/>
      <c r="Q34" s="49"/>
      <c r="R34" s="49"/>
      <c r="S34" s="50"/>
      <c r="T34" s="49"/>
      <c r="U34" s="50"/>
      <c r="V34" s="49"/>
      <c r="W34" s="49"/>
      <c r="X34" s="49"/>
      <c r="Y34" s="49"/>
      <c r="Z34" s="50"/>
      <c r="AA34" s="49"/>
      <c r="AB34" s="49"/>
      <c r="AC34" s="49"/>
      <c r="AD34" s="51" t="str">
        <f aca="false">IFERROR(IF(OR(C34="",AC34=""),"",AC34-C34),"")</f>
        <v/>
      </c>
      <c r="AE34" s="49"/>
      <c r="AF34" s="50"/>
    </row>
    <row r="35" customFormat="false" ht="21.75" hidden="false" customHeight="true" outlineLevel="0" collapsed="false">
      <c r="B35" s="49" t="n">
        <v>29</v>
      </c>
      <c r="C35" s="49"/>
      <c r="D35" s="49"/>
      <c r="E35" s="49"/>
      <c r="F35" s="49"/>
      <c r="G35" s="50"/>
      <c r="H35" s="49"/>
      <c r="I35" s="49"/>
      <c r="J35" s="49"/>
      <c r="K35" s="51" t="str">
        <f aca="false">IFERROR(IF(J35="","",IF(J35&lt;18,"Child",IF(J35&gt;=18,"Adult","Unknown"))),"")</f>
        <v/>
      </c>
      <c r="L35" s="49"/>
      <c r="M35" s="49"/>
      <c r="N35" s="49"/>
      <c r="O35" s="49"/>
      <c r="P35" s="49"/>
      <c r="Q35" s="49"/>
      <c r="R35" s="49"/>
      <c r="S35" s="50"/>
      <c r="T35" s="49"/>
      <c r="U35" s="50"/>
      <c r="V35" s="49"/>
      <c r="W35" s="49"/>
      <c r="X35" s="49"/>
      <c r="Y35" s="49"/>
      <c r="Z35" s="50"/>
      <c r="AA35" s="49"/>
      <c r="AB35" s="49"/>
      <c r="AC35" s="49"/>
      <c r="AD35" s="51" t="str">
        <f aca="false">IFERROR(IF(OR(C35="",AC35=""),"",AC35-C35),"")</f>
        <v/>
      </c>
      <c r="AE35" s="49"/>
      <c r="AF35" s="50"/>
    </row>
    <row r="36" customFormat="false" ht="21.75" hidden="false" customHeight="true" outlineLevel="0" collapsed="false">
      <c r="B36" s="49" t="n">
        <v>30</v>
      </c>
      <c r="C36" s="49"/>
      <c r="D36" s="49"/>
      <c r="E36" s="49"/>
      <c r="F36" s="49"/>
      <c r="G36" s="50"/>
      <c r="H36" s="49"/>
      <c r="I36" s="49"/>
      <c r="J36" s="49"/>
      <c r="K36" s="51" t="str">
        <f aca="false">IFERROR(IF(J36="","",IF(J36&lt;18,"Child",IF(J36&gt;=18,"Adult","Unknown"))),"")</f>
        <v/>
      </c>
      <c r="L36" s="49"/>
      <c r="M36" s="49"/>
      <c r="N36" s="49"/>
      <c r="O36" s="49"/>
      <c r="P36" s="49"/>
      <c r="Q36" s="49"/>
      <c r="R36" s="49"/>
      <c r="S36" s="50"/>
      <c r="T36" s="49"/>
      <c r="U36" s="50"/>
      <c r="V36" s="49"/>
      <c r="W36" s="49"/>
      <c r="X36" s="49"/>
      <c r="Y36" s="49"/>
      <c r="Z36" s="50"/>
      <c r="AA36" s="49"/>
      <c r="AB36" s="49"/>
      <c r="AC36" s="49"/>
      <c r="AD36" s="51" t="str">
        <f aca="false">IFERROR(IF(OR(C36="",AC36=""),"",AC36-C36),"")</f>
        <v/>
      </c>
      <c r="AE36" s="49"/>
      <c r="AF36" s="50"/>
    </row>
    <row r="37" customFormat="false" ht="21.75" hidden="false" customHeight="true" outlineLevel="0" collapsed="false">
      <c r="B37" s="49" t="n">
        <v>31</v>
      </c>
      <c r="C37" s="49"/>
      <c r="D37" s="49"/>
      <c r="E37" s="49"/>
      <c r="F37" s="49"/>
      <c r="G37" s="50"/>
      <c r="H37" s="49"/>
      <c r="I37" s="49"/>
      <c r="J37" s="49"/>
      <c r="K37" s="51" t="str">
        <f aca="false">IFERROR(IF(J37="","",IF(J37&lt;18,"Child",IF(J37&gt;=18,"Adult","Unknown"))),"")</f>
        <v/>
      </c>
      <c r="L37" s="49"/>
      <c r="M37" s="49"/>
      <c r="N37" s="49"/>
      <c r="O37" s="49"/>
      <c r="P37" s="49"/>
      <c r="Q37" s="49"/>
      <c r="R37" s="49"/>
      <c r="S37" s="50"/>
      <c r="T37" s="49"/>
      <c r="U37" s="50"/>
      <c r="V37" s="49"/>
      <c r="W37" s="49"/>
      <c r="X37" s="49"/>
      <c r="Y37" s="49"/>
      <c r="Z37" s="50"/>
      <c r="AA37" s="49"/>
      <c r="AB37" s="49"/>
      <c r="AC37" s="49"/>
      <c r="AD37" s="51" t="str">
        <f aca="false">IFERROR(IF(OR(C37="",AC37=""),"",AC37-C37),"")</f>
        <v/>
      </c>
      <c r="AE37" s="49"/>
      <c r="AF37" s="50"/>
    </row>
    <row r="38" customFormat="false" ht="21.75" hidden="false" customHeight="true" outlineLevel="0" collapsed="false">
      <c r="B38" s="49" t="n">
        <v>32</v>
      </c>
      <c r="C38" s="49"/>
      <c r="D38" s="49"/>
      <c r="E38" s="49"/>
      <c r="F38" s="49"/>
      <c r="G38" s="50"/>
      <c r="H38" s="49"/>
      <c r="I38" s="49"/>
      <c r="J38" s="49"/>
      <c r="K38" s="51" t="str">
        <f aca="false">IFERROR(IF(J38="","",IF(J38&lt;18,"Child",IF(J38&gt;=18,"Adult","Unknown"))),"")</f>
        <v/>
      </c>
      <c r="L38" s="49"/>
      <c r="M38" s="49"/>
      <c r="N38" s="49"/>
      <c r="O38" s="49"/>
      <c r="P38" s="49"/>
      <c r="Q38" s="49"/>
      <c r="R38" s="49"/>
      <c r="S38" s="50"/>
      <c r="T38" s="49"/>
      <c r="U38" s="50"/>
      <c r="V38" s="49"/>
      <c r="W38" s="49"/>
      <c r="X38" s="49"/>
      <c r="Y38" s="49"/>
      <c r="Z38" s="50"/>
      <c r="AA38" s="49"/>
      <c r="AB38" s="49"/>
      <c r="AC38" s="49"/>
      <c r="AD38" s="51" t="str">
        <f aca="false">IFERROR(IF(OR(C38="",AC38=""),"",AC38-C38),"")</f>
        <v/>
      </c>
      <c r="AE38" s="49"/>
      <c r="AF38" s="50"/>
    </row>
    <row r="39" customFormat="false" ht="21.75" hidden="false" customHeight="true" outlineLevel="0" collapsed="false">
      <c r="B39" s="49" t="n">
        <v>33</v>
      </c>
      <c r="C39" s="49"/>
      <c r="D39" s="49"/>
      <c r="E39" s="49"/>
      <c r="F39" s="49"/>
      <c r="G39" s="50"/>
      <c r="H39" s="49"/>
      <c r="I39" s="49"/>
      <c r="J39" s="49"/>
      <c r="K39" s="51" t="str">
        <f aca="false">IFERROR(IF(J39="","",IF(J39&lt;18,"Child",IF(J39&gt;=18,"Adult","Unknown"))),"")</f>
        <v/>
      </c>
      <c r="L39" s="49"/>
      <c r="M39" s="49"/>
      <c r="N39" s="49"/>
      <c r="O39" s="49"/>
      <c r="P39" s="49"/>
      <c r="Q39" s="49"/>
      <c r="R39" s="49"/>
      <c r="S39" s="50"/>
      <c r="T39" s="49"/>
      <c r="U39" s="50"/>
      <c r="V39" s="49"/>
      <c r="W39" s="49"/>
      <c r="X39" s="49"/>
      <c r="Y39" s="49"/>
      <c r="Z39" s="50"/>
      <c r="AA39" s="49"/>
      <c r="AB39" s="49"/>
      <c r="AC39" s="49"/>
      <c r="AD39" s="51" t="str">
        <f aca="false">IFERROR(IF(OR(C39="",AC39=""),"",AC39-C39),"")</f>
        <v/>
      </c>
      <c r="AE39" s="49"/>
      <c r="AF39" s="50"/>
    </row>
    <row r="40" customFormat="false" ht="21.75" hidden="false" customHeight="true" outlineLevel="0" collapsed="false">
      <c r="B40" s="49" t="n">
        <v>34</v>
      </c>
      <c r="C40" s="49"/>
      <c r="D40" s="49"/>
      <c r="E40" s="49"/>
      <c r="F40" s="49"/>
      <c r="G40" s="50"/>
      <c r="H40" s="49"/>
      <c r="I40" s="49"/>
      <c r="J40" s="49"/>
      <c r="K40" s="51" t="str">
        <f aca="false">IFERROR(IF(J40="","",IF(J40&lt;18,"Child",IF(J40&gt;=18,"Adult","Unknown"))),"")</f>
        <v/>
      </c>
      <c r="L40" s="49"/>
      <c r="M40" s="49"/>
      <c r="N40" s="49"/>
      <c r="O40" s="49"/>
      <c r="P40" s="49"/>
      <c r="Q40" s="49"/>
      <c r="R40" s="49"/>
      <c r="S40" s="50"/>
      <c r="T40" s="49"/>
      <c r="U40" s="50"/>
      <c r="V40" s="49"/>
      <c r="W40" s="49"/>
      <c r="X40" s="49"/>
      <c r="Y40" s="49"/>
      <c r="Z40" s="50"/>
      <c r="AA40" s="49"/>
      <c r="AB40" s="49"/>
      <c r="AC40" s="49"/>
      <c r="AD40" s="51" t="str">
        <f aca="false">IFERROR(IF(OR(C40="",AC40=""),"",AC40-C40),"")</f>
        <v/>
      </c>
      <c r="AE40" s="49"/>
      <c r="AF40" s="50"/>
    </row>
    <row r="41" customFormat="false" ht="21.75" hidden="false" customHeight="true" outlineLevel="0" collapsed="false">
      <c r="B41" s="49" t="n">
        <v>35</v>
      </c>
      <c r="C41" s="49"/>
      <c r="D41" s="49"/>
      <c r="E41" s="49"/>
      <c r="F41" s="49"/>
      <c r="G41" s="50"/>
      <c r="H41" s="49"/>
      <c r="I41" s="49"/>
      <c r="J41" s="49"/>
      <c r="K41" s="51" t="str">
        <f aca="false">IFERROR(IF(J41="","",IF(J41&lt;18,"Child",IF(J41&gt;=18,"Adult","Unknown"))),"")</f>
        <v/>
      </c>
      <c r="L41" s="49"/>
      <c r="M41" s="49"/>
      <c r="N41" s="49"/>
      <c r="O41" s="49"/>
      <c r="P41" s="49"/>
      <c r="Q41" s="49"/>
      <c r="R41" s="49"/>
      <c r="S41" s="50"/>
      <c r="T41" s="49"/>
      <c r="U41" s="50"/>
      <c r="V41" s="49"/>
      <c r="W41" s="49"/>
      <c r="X41" s="49"/>
      <c r="Y41" s="49"/>
      <c r="Z41" s="50"/>
      <c r="AA41" s="49"/>
      <c r="AB41" s="49"/>
      <c r="AC41" s="49"/>
      <c r="AD41" s="51" t="str">
        <f aca="false">IFERROR(IF(OR(C41="",AC41=""),"",AC41-C41),"")</f>
        <v/>
      </c>
      <c r="AE41" s="49"/>
      <c r="AF41" s="50"/>
    </row>
    <row r="42" customFormat="false" ht="21.75" hidden="false" customHeight="true" outlineLevel="0" collapsed="false">
      <c r="B42" s="49" t="n">
        <v>36</v>
      </c>
      <c r="C42" s="49"/>
      <c r="D42" s="49"/>
      <c r="E42" s="49"/>
      <c r="F42" s="49"/>
      <c r="G42" s="50"/>
      <c r="H42" s="49"/>
      <c r="I42" s="49"/>
      <c r="J42" s="49"/>
      <c r="K42" s="51" t="str">
        <f aca="false">IFERROR(IF(J42="","",IF(J42&lt;18,"Child",IF(J42&gt;=18,"Adult","Unknown"))),"")</f>
        <v/>
      </c>
      <c r="L42" s="49"/>
      <c r="M42" s="49"/>
      <c r="N42" s="49"/>
      <c r="O42" s="49"/>
      <c r="P42" s="49"/>
      <c r="Q42" s="49"/>
      <c r="R42" s="49"/>
      <c r="S42" s="50"/>
      <c r="T42" s="49"/>
      <c r="U42" s="50"/>
      <c r="V42" s="49"/>
      <c r="W42" s="49"/>
      <c r="X42" s="49"/>
      <c r="Y42" s="49"/>
      <c r="Z42" s="50"/>
      <c r="AA42" s="49"/>
      <c r="AB42" s="49"/>
      <c r="AC42" s="49"/>
      <c r="AD42" s="51" t="str">
        <f aca="false">IFERROR(IF(OR(C42="",AC42=""),"",AC42-C42),"")</f>
        <v/>
      </c>
      <c r="AE42" s="49"/>
      <c r="AF42" s="50"/>
    </row>
    <row r="43" customFormat="false" ht="21.75" hidden="false" customHeight="true" outlineLevel="0" collapsed="false">
      <c r="B43" s="49" t="n">
        <v>37</v>
      </c>
      <c r="C43" s="49"/>
      <c r="D43" s="49"/>
      <c r="E43" s="49"/>
      <c r="F43" s="49"/>
      <c r="G43" s="50"/>
      <c r="H43" s="49"/>
      <c r="I43" s="49"/>
      <c r="J43" s="49"/>
      <c r="K43" s="51" t="str">
        <f aca="false">IFERROR(IF(J43="","",IF(J43&lt;18,"Child",IF(J43&gt;=18,"Adult","Unknown"))),"")</f>
        <v/>
      </c>
      <c r="L43" s="49"/>
      <c r="M43" s="49"/>
      <c r="N43" s="49"/>
      <c r="O43" s="49"/>
      <c r="P43" s="49"/>
      <c r="Q43" s="49"/>
      <c r="R43" s="49"/>
      <c r="S43" s="50"/>
      <c r="T43" s="49"/>
      <c r="U43" s="50"/>
      <c r="V43" s="49"/>
      <c r="W43" s="49"/>
      <c r="X43" s="49"/>
      <c r="Y43" s="49"/>
      <c r="Z43" s="50"/>
      <c r="AA43" s="49"/>
      <c r="AB43" s="49"/>
      <c r="AC43" s="49"/>
      <c r="AD43" s="51" t="str">
        <f aca="false">IFERROR(IF(OR(C43="",AC43=""),"",AC43-C43),"")</f>
        <v/>
      </c>
      <c r="AE43" s="49"/>
      <c r="AF43" s="50"/>
    </row>
    <row r="44" customFormat="false" ht="21.75" hidden="false" customHeight="true" outlineLevel="0" collapsed="false">
      <c r="B44" s="49" t="n">
        <v>38</v>
      </c>
      <c r="C44" s="49"/>
      <c r="D44" s="49"/>
      <c r="E44" s="49"/>
      <c r="F44" s="49"/>
      <c r="G44" s="50"/>
      <c r="H44" s="49"/>
      <c r="I44" s="49"/>
      <c r="J44" s="49"/>
      <c r="K44" s="51" t="str">
        <f aca="false">IFERROR(IF(J44="","",IF(J44&lt;18,"Child",IF(J44&gt;=18,"Adult","Unknown"))),"")</f>
        <v/>
      </c>
      <c r="L44" s="49"/>
      <c r="M44" s="49"/>
      <c r="N44" s="49"/>
      <c r="O44" s="49"/>
      <c r="P44" s="49"/>
      <c r="Q44" s="49"/>
      <c r="R44" s="49"/>
      <c r="S44" s="50"/>
      <c r="T44" s="49"/>
      <c r="U44" s="50"/>
      <c r="V44" s="49"/>
      <c r="W44" s="49"/>
      <c r="X44" s="49"/>
      <c r="Y44" s="49"/>
      <c r="Z44" s="50"/>
      <c r="AA44" s="49"/>
      <c r="AB44" s="49"/>
      <c r="AC44" s="49"/>
      <c r="AD44" s="51" t="str">
        <f aca="false">IFERROR(IF(OR(C44="",AC44=""),"",AC44-C44),"")</f>
        <v/>
      </c>
      <c r="AE44" s="49"/>
      <c r="AF44" s="50"/>
    </row>
    <row r="45" customFormat="false" ht="21.75" hidden="false" customHeight="true" outlineLevel="0" collapsed="false">
      <c r="B45" s="49" t="n">
        <v>39</v>
      </c>
      <c r="C45" s="49"/>
      <c r="D45" s="49"/>
      <c r="E45" s="49"/>
      <c r="F45" s="49"/>
      <c r="G45" s="50"/>
      <c r="H45" s="49"/>
      <c r="I45" s="49"/>
      <c r="J45" s="49"/>
      <c r="K45" s="51" t="str">
        <f aca="false">IFERROR(IF(J45="","",IF(J45&lt;18,"Child",IF(J45&gt;=18,"Adult","Unknown"))),"")</f>
        <v/>
      </c>
      <c r="L45" s="49"/>
      <c r="M45" s="49"/>
      <c r="N45" s="49"/>
      <c r="O45" s="49"/>
      <c r="P45" s="49"/>
      <c r="Q45" s="49"/>
      <c r="R45" s="49"/>
      <c r="S45" s="50"/>
      <c r="T45" s="49"/>
      <c r="U45" s="50"/>
      <c r="V45" s="49"/>
      <c r="W45" s="49"/>
      <c r="X45" s="49"/>
      <c r="Y45" s="49"/>
      <c r="Z45" s="50"/>
      <c r="AA45" s="49"/>
      <c r="AB45" s="49"/>
      <c r="AC45" s="49"/>
      <c r="AD45" s="51" t="str">
        <f aca="false">IFERROR(IF(OR(C45="",AC45=""),"",AC45-C45),"")</f>
        <v/>
      </c>
      <c r="AE45" s="49"/>
      <c r="AF45" s="50"/>
    </row>
    <row r="46" customFormat="false" ht="21.75" hidden="false" customHeight="true" outlineLevel="0" collapsed="false">
      <c r="B46" s="49" t="n">
        <v>40</v>
      </c>
      <c r="C46" s="49"/>
      <c r="D46" s="49"/>
      <c r="E46" s="49"/>
      <c r="F46" s="49"/>
      <c r="G46" s="50"/>
      <c r="H46" s="49"/>
      <c r="I46" s="49"/>
      <c r="J46" s="49"/>
      <c r="K46" s="51" t="str">
        <f aca="false">IFERROR(IF(J46="","",IF(J46&lt;18,"Child",IF(J46&gt;=18,"Adult","Unknown"))),"")</f>
        <v/>
      </c>
      <c r="L46" s="49"/>
      <c r="M46" s="49"/>
      <c r="N46" s="49"/>
      <c r="O46" s="49"/>
      <c r="P46" s="49"/>
      <c r="Q46" s="49"/>
      <c r="R46" s="49"/>
      <c r="S46" s="50"/>
      <c r="T46" s="49"/>
      <c r="U46" s="50"/>
      <c r="V46" s="49"/>
      <c r="W46" s="49"/>
      <c r="X46" s="49"/>
      <c r="Y46" s="49"/>
      <c r="Z46" s="50"/>
      <c r="AA46" s="49"/>
      <c r="AB46" s="49"/>
      <c r="AC46" s="49"/>
      <c r="AD46" s="51" t="str">
        <f aca="false">IFERROR(IF(OR(C46="",AC46=""),"",AC46-C46),"")</f>
        <v/>
      </c>
      <c r="AE46" s="49"/>
      <c r="AF46" s="50"/>
    </row>
  </sheetData>
  <autoFilter ref="B6:AF46"/>
  <mergeCells count="5">
    <mergeCell ref="B2:AF2"/>
    <mergeCell ref="B3:AF3"/>
    <mergeCell ref="B5:G5"/>
    <mergeCell ref="H5:Y5"/>
    <mergeCell ref="Z5:AF5"/>
  </mergeCells>
  <dataValidations count="10">
    <dataValidation allowBlank="true" errorStyle="stop" operator="between" showDropDown="false" showErrorMessage="false" showInputMessage="false" sqref="G7:G46" type="list">
      <formula1>"Help desk (at distribution),Help desk (other locations),Feedback box,Phone hotline,Survey,Face to face (not help desk),FGD/Consultation,Community meeting,Community Education Support Group (CESG),Community-Based Child Protection Committee (CBCPC)"</formula1>
      <formula2>0</formula2>
    </dataValidation>
    <dataValidation allowBlank="true" errorStyle="stop" operator="between" showDropDown="false" showErrorMessage="false" showInputMessage="false" sqref="I7:I46" type="list">
      <formula1>"Beneficiary,Non-beneficiary,Partner staff (PIB/SC),FIVDB staff,Unknown"</formula1>
      <formula2>0</formula2>
    </dataValidation>
    <dataValidation allowBlank="true" errorStyle="stop" operator="between" showDropDown="false" showErrorMessage="false" showInputMessage="false" sqref="L7:L46" type="list">
      <formula1>"Male,Female,Other,Unknown"</formula1>
      <formula2>0</formula2>
    </dataValidation>
    <dataValidation allowBlank="true" errorStyle="stop" operator="between" showDropDown="false" showErrorMessage="false" showInputMessage="false" sqref="M7:M46" type="list">
      <formula1>"None,Disability,Pregnant or lactating woman,Elderly person,Female head of HH,Child head of HH,Unaccompanied/separated child,Survivor of GBV,Unknown"</formula1>
      <formula2>0</formula2>
    </dataValidation>
    <dataValidation allowBlank="true" errorStyle="stop" operator="between" showDropDown="false" showErrorMessage="false" showInputMessage="false" sqref="O7:O46" type="list">
      <formula1>"Camp 1W,Camp 6,Camp 21,Camp 24"</formula1>
      <formula2>0</formula2>
    </dataValidation>
    <dataValidation allowBlank="true" errorStyle="stop" operator="between" showDropDown="false" showErrorMessage="false" showInputMessage="false" sqref="R7:R46" type="list">
      <formula1>"Education (Result 1),Child Protection (Result 2),GBV (referral to SC),Distribution/NFI,Health (referral to SC),General/Other"</formula1>
      <formula2>0</formula2>
    </dataValidation>
    <dataValidation allowBlank="true" errorStyle="stop" operator="between" showDropDown="false" showErrorMessage="false" showInputMessage="false" sqref="U7:U46" type="list">
      <formula1>"0. Thank you messages / general information,1. Request for information,2. Request for assistance,3. Minor dissatisfaction with activities or suggestions for improvement,4. Major dissatisfaction with activities or suggestions for improvement,5. Breaches of"</formula1>
      <formula2>0</formula2>
    </dataValidation>
    <dataValidation allowBlank="true" errorStyle="stop" operator="between" showDropDown="false" showErrorMessage="false" showInputMessage="false" sqref="V7:V46" type="list">
      <formula1>"Not applicable,Security threat,Unsafe programming concern,Fraud and corruption concern,Child safeguarding concern,Adult safeguarding concern (including PSEA),Concern regarding another breach of Code of Conduct,Report about another organisation,Child prote"</formula1>
      <formula2>0</formula2>
    </dataValidation>
    <dataValidation allowBlank="true" errorStyle="stop" operator="between" showDropDown="false" showErrorMessage="false" showInputMessage="false" sqref="AB7:AB46" type="list">
      <formula1>"Resolved,Unresolved,In progress"</formula1>
      <formula2>0</formula2>
    </dataValidation>
    <dataValidation allowBlank="true" errorStyle="stop" operator="between" showDropDown="false" showErrorMessage="false" showInputMessage="false" sqref="AE7:AE46"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T4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12"/>
    <col collapsed="false" customWidth="true" hidden="false" outlineLevel="0" max="4" min="4" style="0" width="18"/>
    <col collapsed="false" customWidth="true" hidden="false" outlineLevel="0" max="5" min="5" style="0" width="14"/>
    <col collapsed="false" customWidth="true" hidden="false" outlineLevel="0" max="6" min="6" style="0" width="20"/>
    <col collapsed="false" customWidth="true" hidden="false" outlineLevel="0" max="7" min="7" style="0" width="12"/>
    <col collapsed="false" customWidth="true" hidden="false" outlineLevel="0" max="8" min="8" style="0" width="20"/>
    <col collapsed="false" customWidth="true" hidden="false" outlineLevel="0" max="9" min="9" style="0" width="14"/>
    <col collapsed="false" customWidth="true" hidden="false" outlineLevel="0" max="10" min="10" style="0" width="18"/>
    <col collapsed="false" customWidth="true" hidden="false" outlineLevel="0" max="11" min="11" style="0" width="34"/>
    <col collapsed="false" customWidth="true" hidden="false" outlineLevel="0" max="12" min="12" style="0" width="30"/>
    <col collapsed="false" customWidth="true" hidden="false" outlineLevel="0" max="13" min="13" style="0" width="26"/>
    <col collapsed="false" customWidth="true" hidden="false" outlineLevel="0" max="15" min="14" style="0" width="12"/>
    <col collapsed="false" customWidth="true" hidden="false" outlineLevel="0" max="16" min="16" style="0" width="14"/>
    <col collapsed="false" customWidth="true" hidden="false" outlineLevel="0" max="17" min="17" style="0" width="20"/>
  </cols>
  <sheetData>
    <row r="2" customFormat="false" ht="21.75" hidden="false" customHeight="true" outlineLevel="0" collapsed="false">
      <c r="B2" s="12" t="s">
        <v>484</v>
      </c>
      <c r="C2" s="12"/>
      <c r="D2" s="12"/>
      <c r="E2" s="12"/>
      <c r="F2" s="12"/>
      <c r="G2" s="12"/>
      <c r="H2" s="12"/>
      <c r="I2" s="12"/>
      <c r="J2" s="12"/>
      <c r="K2" s="12"/>
      <c r="L2" s="12"/>
      <c r="M2" s="12"/>
      <c r="N2" s="12"/>
      <c r="O2" s="12"/>
      <c r="P2" s="12"/>
      <c r="Q2" s="12"/>
      <c r="R2" s="12"/>
      <c r="S2" s="12"/>
      <c r="T2" s="12"/>
    </row>
    <row r="3" customFormat="false" ht="15" hidden="false" customHeight="true" outlineLevel="0" collapsed="false">
      <c r="B3" s="13" t="s">
        <v>485</v>
      </c>
      <c r="C3" s="13"/>
      <c r="D3" s="13"/>
      <c r="E3" s="13"/>
      <c r="F3" s="13"/>
      <c r="G3" s="13"/>
      <c r="H3" s="13"/>
      <c r="I3" s="13"/>
      <c r="J3" s="13"/>
      <c r="K3" s="13"/>
      <c r="L3" s="13"/>
      <c r="M3" s="13"/>
      <c r="N3" s="13"/>
      <c r="O3" s="13"/>
      <c r="P3" s="13"/>
      <c r="Q3" s="13"/>
      <c r="R3" s="13"/>
      <c r="S3" s="13"/>
      <c r="T3" s="13"/>
    </row>
    <row r="5" customFormat="false" ht="36" hidden="false" customHeight="true" outlineLevel="0" collapsed="false">
      <c r="B5" s="15" t="s">
        <v>456</v>
      </c>
      <c r="C5" s="15" t="s">
        <v>486</v>
      </c>
      <c r="D5" s="15" t="s">
        <v>487</v>
      </c>
      <c r="E5" s="15" t="s">
        <v>488</v>
      </c>
      <c r="F5" s="15" t="s">
        <v>489</v>
      </c>
      <c r="G5" s="15" t="s">
        <v>416</v>
      </c>
      <c r="H5" s="15" t="s">
        <v>490</v>
      </c>
      <c r="I5" s="15" t="s">
        <v>491</v>
      </c>
      <c r="J5" s="15" t="s">
        <v>471</v>
      </c>
      <c r="K5" s="15" t="s">
        <v>492</v>
      </c>
      <c r="L5" s="15" t="s">
        <v>436</v>
      </c>
      <c r="M5" s="15" t="s">
        <v>493</v>
      </c>
      <c r="N5" s="15" t="s">
        <v>413</v>
      </c>
      <c r="O5" s="15" t="s">
        <v>480</v>
      </c>
      <c r="P5" s="15" t="s">
        <v>494</v>
      </c>
      <c r="Q5" s="15" t="s">
        <v>483</v>
      </c>
    </row>
    <row r="6" customFormat="false" ht="21.75" hidden="false" customHeight="true" outlineLevel="0" collapsed="false">
      <c r="B6" s="49" t="n">
        <v>1</v>
      </c>
      <c r="C6" s="49"/>
      <c r="D6" s="49"/>
      <c r="E6" s="49"/>
      <c r="F6" s="49"/>
      <c r="G6" s="49"/>
      <c r="H6" s="49"/>
      <c r="I6" s="49"/>
      <c r="J6" s="49"/>
      <c r="K6" s="50"/>
      <c r="L6" s="50"/>
      <c r="M6" s="50"/>
      <c r="N6" s="49"/>
      <c r="O6" s="49"/>
      <c r="P6" s="49"/>
      <c r="Q6" s="50"/>
    </row>
    <row r="7" customFormat="false" ht="21.75" hidden="false" customHeight="true" outlineLevel="0" collapsed="false">
      <c r="B7" s="49" t="n">
        <v>2</v>
      </c>
      <c r="C7" s="49"/>
      <c r="D7" s="49"/>
      <c r="E7" s="49"/>
      <c r="F7" s="49"/>
      <c r="G7" s="49"/>
      <c r="H7" s="49"/>
      <c r="I7" s="49"/>
      <c r="J7" s="49"/>
      <c r="K7" s="50"/>
      <c r="L7" s="50"/>
      <c r="M7" s="50"/>
      <c r="N7" s="49"/>
      <c r="O7" s="49"/>
      <c r="P7" s="49"/>
      <c r="Q7" s="50"/>
    </row>
    <row r="8" customFormat="false" ht="21.75" hidden="false" customHeight="true" outlineLevel="0" collapsed="false">
      <c r="B8" s="49" t="n">
        <v>3</v>
      </c>
      <c r="C8" s="49"/>
      <c r="D8" s="49"/>
      <c r="E8" s="49"/>
      <c r="F8" s="49"/>
      <c r="G8" s="49"/>
      <c r="H8" s="49"/>
      <c r="I8" s="49"/>
      <c r="J8" s="49"/>
      <c r="K8" s="50"/>
      <c r="L8" s="50"/>
      <c r="M8" s="50"/>
      <c r="N8" s="49"/>
      <c r="O8" s="49"/>
      <c r="P8" s="49"/>
      <c r="Q8" s="50"/>
    </row>
    <row r="9" customFormat="false" ht="21.75" hidden="false" customHeight="true" outlineLevel="0" collapsed="false">
      <c r="B9" s="49" t="n">
        <v>4</v>
      </c>
      <c r="C9" s="49"/>
      <c r="D9" s="49"/>
      <c r="E9" s="49"/>
      <c r="F9" s="49"/>
      <c r="G9" s="49"/>
      <c r="H9" s="49"/>
      <c r="I9" s="49"/>
      <c r="J9" s="49"/>
      <c r="K9" s="50"/>
      <c r="L9" s="50"/>
      <c r="M9" s="50"/>
      <c r="N9" s="49"/>
      <c r="O9" s="49"/>
      <c r="P9" s="49"/>
      <c r="Q9" s="50"/>
    </row>
    <row r="10" customFormat="false" ht="21.75" hidden="false" customHeight="true" outlineLevel="0" collapsed="false">
      <c r="B10" s="49" t="n">
        <v>5</v>
      </c>
      <c r="C10" s="49"/>
      <c r="D10" s="49"/>
      <c r="E10" s="49"/>
      <c r="F10" s="49"/>
      <c r="G10" s="49"/>
      <c r="H10" s="49"/>
      <c r="I10" s="49"/>
      <c r="J10" s="49"/>
      <c r="K10" s="50"/>
      <c r="L10" s="50"/>
      <c r="M10" s="50"/>
      <c r="N10" s="49"/>
      <c r="O10" s="49"/>
      <c r="P10" s="49"/>
      <c r="Q10" s="50"/>
    </row>
    <row r="11" customFormat="false" ht="21.75" hidden="false" customHeight="true" outlineLevel="0" collapsed="false">
      <c r="B11" s="49" t="n">
        <v>6</v>
      </c>
      <c r="C11" s="49"/>
      <c r="D11" s="49"/>
      <c r="E11" s="49"/>
      <c r="F11" s="49"/>
      <c r="G11" s="49"/>
      <c r="H11" s="49"/>
      <c r="I11" s="49"/>
      <c r="J11" s="49"/>
      <c r="K11" s="50"/>
      <c r="L11" s="50"/>
      <c r="M11" s="50"/>
      <c r="N11" s="49"/>
      <c r="O11" s="49"/>
      <c r="P11" s="49"/>
      <c r="Q11" s="50"/>
    </row>
    <row r="12" customFormat="false" ht="21.75" hidden="false" customHeight="true" outlineLevel="0" collapsed="false">
      <c r="B12" s="49" t="n">
        <v>7</v>
      </c>
      <c r="C12" s="49"/>
      <c r="D12" s="49"/>
      <c r="E12" s="49"/>
      <c r="F12" s="49"/>
      <c r="G12" s="49"/>
      <c r="H12" s="49"/>
      <c r="I12" s="49"/>
      <c r="J12" s="49"/>
      <c r="K12" s="50"/>
      <c r="L12" s="50"/>
      <c r="M12" s="50"/>
      <c r="N12" s="49"/>
      <c r="O12" s="49"/>
      <c r="P12" s="49"/>
      <c r="Q12" s="50"/>
    </row>
    <row r="13" customFormat="false" ht="21.75" hidden="false" customHeight="true" outlineLevel="0" collapsed="false">
      <c r="B13" s="49" t="n">
        <v>8</v>
      </c>
      <c r="C13" s="49"/>
      <c r="D13" s="49"/>
      <c r="E13" s="49"/>
      <c r="F13" s="49"/>
      <c r="G13" s="49"/>
      <c r="H13" s="49"/>
      <c r="I13" s="49"/>
      <c r="J13" s="49"/>
      <c r="K13" s="50"/>
      <c r="L13" s="50"/>
      <c r="M13" s="50"/>
      <c r="N13" s="49"/>
      <c r="O13" s="49"/>
      <c r="P13" s="49"/>
      <c r="Q13" s="50"/>
    </row>
    <row r="14" customFormat="false" ht="21.75" hidden="false" customHeight="true" outlineLevel="0" collapsed="false">
      <c r="B14" s="49" t="n">
        <v>9</v>
      </c>
      <c r="C14" s="49"/>
      <c r="D14" s="49"/>
      <c r="E14" s="49"/>
      <c r="F14" s="49"/>
      <c r="G14" s="49"/>
      <c r="H14" s="49"/>
      <c r="I14" s="49"/>
      <c r="J14" s="49"/>
      <c r="K14" s="50"/>
      <c r="L14" s="50"/>
      <c r="M14" s="50"/>
      <c r="N14" s="49"/>
      <c r="O14" s="49"/>
      <c r="P14" s="49"/>
      <c r="Q14" s="50"/>
    </row>
    <row r="15" customFormat="false" ht="21.75" hidden="false" customHeight="true" outlineLevel="0" collapsed="false">
      <c r="B15" s="49" t="n">
        <v>10</v>
      </c>
      <c r="C15" s="49"/>
      <c r="D15" s="49"/>
      <c r="E15" s="49"/>
      <c r="F15" s="49"/>
      <c r="G15" s="49"/>
      <c r="H15" s="49"/>
      <c r="I15" s="49"/>
      <c r="J15" s="49"/>
      <c r="K15" s="50"/>
      <c r="L15" s="50"/>
      <c r="M15" s="50"/>
      <c r="N15" s="49"/>
      <c r="O15" s="49"/>
      <c r="P15" s="49"/>
      <c r="Q15" s="50"/>
    </row>
    <row r="16" customFormat="false" ht="21.75" hidden="false" customHeight="true" outlineLevel="0" collapsed="false">
      <c r="B16" s="49" t="n">
        <v>11</v>
      </c>
      <c r="C16" s="49"/>
      <c r="D16" s="49"/>
      <c r="E16" s="49"/>
      <c r="F16" s="49"/>
      <c r="G16" s="49"/>
      <c r="H16" s="49"/>
      <c r="I16" s="49"/>
      <c r="J16" s="49"/>
      <c r="K16" s="50"/>
      <c r="L16" s="50"/>
      <c r="M16" s="50"/>
      <c r="N16" s="49"/>
      <c r="O16" s="49"/>
      <c r="P16" s="49"/>
      <c r="Q16" s="50"/>
    </row>
    <row r="17" customFormat="false" ht="21.75" hidden="false" customHeight="true" outlineLevel="0" collapsed="false">
      <c r="B17" s="49" t="n">
        <v>12</v>
      </c>
      <c r="C17" s="49"/>
      <c r="D17" s="49"/>
      <c r="E17" s="49"/>
      <c r="F17" s="49"/>
      <c r="G17" s="49"/>
      <c r="H17" s="49"/>
      <c r="I17" s="49"/>
      <c r="J17" s="49"/>
      <c r="K17" s="50"/>
      <c r="L17" s="50"/>
      <c r="M17" s="50"/>
      <c r="N17" s="49"/>
      <c r="O17" s="49"/>
      <c r="P17" s="49"/>
      <c r="Q17" s="50"/>
    </row>
    <row r="18" customFormat="false" ht="21.75" hidden="false" customHeight="true" outlineLevel="0" collapsed="false">
      <c r="B18" s="49" t="n">
        <v>13</v>
      </c>
      <c r="C18" s="49"/>
      <c r="D18" s="49"/>
      <c r="E18" s="49"/>
      <c r="F18" s="49"/>
      <c r="G18" s="49"/>
      <c r="H18" s="49"/>
      <c r="I18" s="49"/>
      <c r="J18" s="49"/>
      <c r="K18" s="50"/>
      <c r="L18" s="50"/>
      <c r="M18" s="50"/>
      <c r="N18" s="49"/>
      <c r="O18" s="49"/>
      <c r="P18" s="49"/>
      <c r="Q18" s="50"/>
    </row>
    <row r="19" customFormat="false" ht="21.75" hidden="false" customHeight="true" outlineLevel="0" collapsed="false">
      <c r="B19" s="49" t="n">
        <v>14</v>
      </c>
      <c r="C19" s="49"/>
      <c r="D19" s="49"/>
      <c r="E19" s="49"/>
      <c r="F19" s="49"/>
      <c r="G19" s="49"/>
      <c r="H19" s="49"/>
      <c r="I19" s="49"/>
      <c r="J19" s="49"/>
      <c r="K19" s="50"/>
      <c r="L19" s="50"/>
      <c r="M19" s="50"/>
      <c r="N19" s="49"/>
      <c r="O19" s="49"/>
      <c r="P19" s="49"/>
      <c r="Q19" s="50"/>
    </row>
    <row r="20" customFormat="false" ht="21.75" hidden="false" customHeight="true" outlineLevel="0" collapsed="false">
      <c r="B20" s="49" t="n">
        <v>15</v>
      </c>
      <c r="C20" s="49"/>
      <c r="D20" s="49"/>
      <c r="E20" s="49"/>
      <c r="F20" s="49"/>
      <c r="G20" s="49"/>
      <c r="H20" s="49"/>
      <c r="I20" s="49"/>
      <c r="J20" s="49"/>
      <c r="K20" s="50"/>
      <c r="L20" s="50"/>
      <c r="M20" s="50"/>
      <c r="N20" s="49"/>
      <c r="O20" s="49"/>
      <c r="P20" s="49"/>
      <c r="Q20" s="50"/>
    </row>
    <row r="21" customFormat="false" ht="21.75" hidden="false" customHeight="true" outlineLevel="0" collapsed="false">
      <c r="B21" s="49" t="n">
        <v>16</v>
      </c>
      <c r="C21" s="49"/>
      <c r="D21" s="49"/>
      <c r="E21" s="49"/>
      <c r="F21" s="49"/>
      <c r="G21" s="49"/>
      <c r="H21" s="49"/>
      <c r="I21" s="49"/>
      <c r="J21" s="49"/>
      <c r="K21" s="50"/>
      <c r="L21" s="50"/>
      <c r="M21" s="50"/>
      <c r="N21" s="49"/>
      <c r="O21" s="49"/>
      <c r="P21" s="49"/>
      <c r="Q21" s="50"/>
    </row>
    <row r="22" customFormat="false" ht="21.75" hidden="false" customHeight="true" outlineLevel="0" collapsed="false">
      <c r="B22" s="49" t="n">
        <v>17</v>
      </c>
      <c r="C22" s="49"/>
      <c r="D22" s="49"/>
      <c r="E22" s="49"/>
      <c r="F22" s="49"/>
      <c r="G22" s="49"/>
      <c r="H22" s="49"/>
      <c r="I22" s="49"/>
      <c r="J22" s="49"/>
      <c r="K22" s="50"/>
      <c r="L22" s="50"/>
      <c r="M22" s="50"/>
      <c r="N22" s="49"/>
      <c r="O22" s="49"/>
      <c r="P22" s="49"/>
      <c r="Q22" s="50"/>
    </row>
    <row r="23" customFormat="false" ht="21.75" hidden="false" customHeight="true" outlineLevel="0" collapsed="false">
      <c r="B23" s="49" t="n">
        <v>18</v>
      </c>
      <c r="C23" s="49"/>
      <c r="D23" s="49"/>
      <c r="E23" s="49"/>
      <c r="F23" s="49"/>
      <c r="G23" s="49"/>
      <c r="H23" s="49"/>
      <c r="I23" s="49"/>
      <c r="J23" s="49"/>
      <c r="K23" s="50"/>
      <c r="L23" s="50"/>
      <c r="M23" s="50"/>
      <c r="N23" s="49"/>
      <c r="O23" s="49"/>
      <c r="P23" s="49"/>
      <c r="Q23" s="50"/>
    </row>
    <row r="24" customFormat="false" ht="21.75" hidden="false" customHeight="true" outlineLevel="0" collapsed="false">
      <c r="B24" s="49" t="n">
        <v>19</v>
      </c>
      <c r="C24" s="49"/>
      <c r="D24" s="49"/>
      <c r="E24" s="49"/>
      <c r="F24" s="49"/>
      <c r="G24" s="49"/>
      <c r="H24" s="49"/>
      <c r="I24" s="49"/>
      <c r="J24" s="49"/>
      <c r="K24" s="50"/>
      <c r="L24" s="50"/>
      <c r="M24" s="50"/>
      <c r="N24" s="49"/>
      <c r="O24" s="49"/>
      <c r="P24" s="49"/>
      <c r="Q24" s="50"/>
    </row>
    <row r="25" customFormat="false" ht="21.75" hidden="false" customHeight="true" outlineLevel="0" collapsed="false">
      <c r="B25" s="49" t="n">
        <v>20</v>
      </c>
      <c r="C25" s="49"/>
      <c r="D25" s="49"/>
      <c r="E25" s="49"/>
      <c r="F25" s="49"/>
      <c r="G25" s="49"/>
      <c r="H25" s="49"/>
      <c r="I25" s="49"/>
      <c r="J25" s="49"/>
      <c r="K25" s="50"/>
      <c r="L25" s="50"/>
      <c r="M25" s="50"/>
      <c r="N25" s="49"/>
      <c r="O25" s="49"/>
      <c r="P25" s="49"/>
      <c r="Q25" s="50"/>
    </row>
    <row r="26" customFormat="false" ht="21.75" hidden="false" customHeight="true" outlineLevel="0" collapsed="false">
      <c r="B26" s="49" t="n">
        <v>21</v>
      </c>
      <c r="C26" s="49"/>
      <c r="D26" s="49"/>
      <c r="E26" s="49"/>
      <c r="F26" s="49"/>
      <c r="G26" s="49"/>
      <c r="H26" s="49"/>
      <c r="I26" s="49"/>
      <c r="J26" s="49"/>
      <c r="K26" s="50"/>
      <c r="L26" s="50"/>
      <c r="M26" s="50"/>
      <c r="N26" s="49"/>
      <c r="O26" s="49"/>
      <c r="P26" s="49"/>
      <c r="Q26" s="50"/>
    </row>
    <row r="27" customFormat="false" ht="21.75" hidden="false" customHeight="true" outlineLevel="0" collapsed="false">
      <c r="B27" s="49" t="n">
        <v>22</v>
      </c>
      <c r="C27" s="49"/>
      <c r="D27" s="49"/>
      <c r="E27" s="49"/>
      <c r="F27" s="49"/>
      <c r="G27" s="49"/>
      <c r="H27" s="49"/>
      <c r="I27" s="49"/>
      <c r="J27" s="49"/>
      <c r="K27" s="50"/>
      <c r="L27" s="50"/>
      <c r="M27" s="50"/>
      <c r="N27" s="49"/>
      <c r="O27" s="49"/>
      <c r="P27" s="49"/>
      <c r="Q27" s="50"/>
    </row>
    <row r="28" customFormat="false" ht="21.75" hidden="false" customHeight="true" outlineLevel="0" collapsed="false">
      <c r="B28" s="49" t="n">
        <v>23</v>
      </c>
      <c r="C28" s="49"/>
      <c r="D28" s="49"/>
      <c r="E28" s="49"/>
      <c r="F28" s="49"/>
      <c r="G28" s="49"/>
      <c r="H28" s="49"/>
      <c r="I28" s="49"/>
      <c r="J28" s="49"/>
      <c r="K28" s="50"/>
      <c r="L28" s="50"/>
      <c r="M28" s="50"/>
      <c r="N28" s="49"/>
      <c r="O28" s="49"/>
      <c r="P28" s="49"/>
      <c r="Q28" s="50"/>
    </row>
    <row r="29" customFormat="false" ht="21.75" hidden="false" customHeight="true" outlineLevel="0" collapsed="false">
      <c r="B29" s="49" t="n">
        <v>24</v>
      </c>
      <c r="C29" s="49"/>
      <c r="D29" s="49"/>
      <c r="E29" s="49"/>
      <c r="F29" s="49"/>
      <c r="G29" s="49"/>
      <c r="H29" s="49"/>
      <c r="I29" s="49"/>
      <c r="J29" s="49"/>
      <c r="K29" s="50"/>
      <c r="L29" s="50"/>
      <c r="M29" s="50"/>
      <c r="N29" s="49"/>
      <c r="O29" s="49"/>
      <c r="P29" s="49"/>
      <c r="Q29" s="50"/>
    </row>
    <row r="30" customFormat="false" ht="21.75" hidden="false" customHeight="true" outlineLevel="0" collapsed="false">
      <c r="B30" s="49" t="n">
        <v>25</v>
      </c>
      <c r="C30" s="49"/>
      <c r="D30" s="49"/>
      <c r="E30" s="49"/>
      <c r="F30" s="49"/>
      <c r="G30" s="49"/>
      <c r="H30" s="49"/>
      <c r="I30" s="49"/>
      <c r="J30" s="49"/>
      <c r="K30" s="50"/>
      <c r="L30" s="50"/>
      <c r="M30" s="50"/>
      <c r="N30" s="49"/>
      <c r="O30" s="49"/>
      <c r="P30" s="49"/>
      <c r="Q30" s="50"/>
    </row>
    <row r="31" customFormat="false" ht="21.75" hidden="false" customHeight="true" outlineLevel="0" collapsed="false">
      <c r="B31" s="49" t="n">
        <v>26</v>
      </c>
      <c r="C31" s="49"/>
      <c r="D31" s="49"/>
      <c r="E31" s="49"/>
      <c r="F31" s="49"/>
      <c r="G31" s="49"/>
      <c r="H31" s="49"/>
      <c r="I31" s="49"/>
      <c r="J31" s="49"/>
      <c r="K31" s="50"/>
      <c r="L31" s="50"/>
      <c r="M31" s="50"/>
      <c r="N31" s="49"/>
      <c r="O31" s="49"/>
      <c r="P31" s="49"/>
      <c r="Q31" s="50"/>
    </row>
    <row r="32" customFormat="false" ht="21.75" hidden="false" customHeight="true" outlineLevel="0" collapsed="false">
      <c r="B32" s="49" t="n">
        <v>27</v>
      </c>
      <c r="C32" s="49"/>
      <c r="D32" s="49"/>
      <c r="E32" s="49"/>
      <c r="F32" s="49"/>
      <c r="G32" s="49"/>
      <c r="H32" s="49"/>
      <c r="I32" s="49"/>
      <c r="J32" s="49"/>
      <c r="K32" s="50"/>
      <c r="L32" s="50"/>
      <c r="M32" s="50"/>
      <c r="N32" s="49"/>
      <c r="O32" s="49"/>
      <c r="P32" s="49"/>
      <c r="Q32" s="50"/>
    </row>
    <row r="33" customFormat="false" ht="21.75" hidden="false" customHeight="true" outlineLevel="0" collapsed="false">
      <c r="B33" s="49" t="n">
        <v>28</v>
      </c>
      <c r="C33" s="49"/>
      <c r="D33" s="49"/>
      <c r="E33" s="49"/>
      <c r="F33" s="49"/>
      <c r="G33" s="49"/>
      <c r="H33" s="49"/>
      <c r="I33" s="49"/>
      <c r="J33" s="49"/>
      <c r="K33" s="50"/>
      <c r="L33" s="50"/>
      <c r="M33" s="50"/>
      <c r="N33" s="49"/>
      <c r="O33" s="49"/>
      <c r="P33" s="49"/>
      <c r="Q33" s="50"/>
    </row>
    <row r="34" customFormat="false" ht="21.75" hidden="false" customHeight="true" outlineLevel="0" collapsed="false">
      <c r="B34" s="49" t="n">
        <v>29</v>
      </c>
      <c r="C34" s="49"/>
      <c r="D34" s="49"/>
      <c r="E34" s="49"/>
      <c r="F34" s="49"/>
      <c r="G34" s="49"/>
      <c r="H34" s="49"/>
      <c r="I34" s="49"/>
      <c r="J34" s="49"/>
      <c r="K34" s="50"/>
      <c r="L34" s="50"/>
      <c r="M34" s="50"/>
      <c r="N34" s="49"/>
      <c r="O34" s="49"/>
      <c r="P34" s="49"/>
      <c r="Q34" s="50"/>
    </row>
    <row r="35" customFormat="false" ht="21.75" hidden="false" customHeight="true" outlineLevel="0" collapsed="false">
      <c r="B35" s="49" t="n">
        <v>30</v>
      </c>
      <c r="C35" s="49"/>
      <c r="D35" s="49"/>
      <c r="E35" s="49"/>
      <c r="F35" s="49"/>
      <c r="G35" s="49"/>
      <c r="H35" s="49"/>
      <c r="I35" s="49"/>
      <c r="J35" s="49"/>
      <c r="K35" s="50"/>
      <c r="L35" s="50"/>
      <c r="M35" s="50"/>
      <c r="N35" s="49"/>
      <c r="O35" s="49"/>
      <c r="P35" s="49"/>
      <c r="Q35" s="50"/>
    </row>
    <row r="36" customFormat="false" ht="21.75" hidden="false" customHeight="true" outlineLevel="0" collapsed="false">
      <c r="B36" s="49" t="n">
        <v>31</v>
      </c>
      <c r="C36" s="49"/>
      <c r="D36" s="49"/>
      <c r="E36" s="49"/>
      <c r="F36" s="49"/>
      <c r="G36" s="49"/>
      <c r="H36" s="49"/>
      <c r="I36" s="49"/>
      <c r="J36" s="49"/>
      <c r="K36" s="50"/>
      <c r="L36" s="50"/>
      <c r="M36" s="50"/>
      <c r="N36" s="49"/>
      <c r="O36" s="49"/>
      <c r="P36" s="49"/>
      <c r="Q36" s="50"/>
    </row>
    <row r="37" customFormat="false" ht="21.75" hidden="false" customHeight="true" outlineLevel="0" collapsed="false">
      <c r="B37" s="49" t="n">
        <v>32</v>
      </c>
      <c r="C37" s="49"/>
      <c r="D37" s="49"/>
      <c r="E37" s="49"/>
      <c r="F37" s="49"/>
      <c r="G37" s="49"/>
      <c r="H37" s="49"/>
      <c r="I37" s="49"/>
      <c r="J37" s="49"/>
      <c r="K37" s="50"/>
      <c r="L37" s="50"/>
      <c r="M37" s="50"/>
      <c r="N37" s="49"/>
      <c r="O37" s="49"/>
      <c r="P37" s="49"/>
      <c r="Q37" s="50"/>
    </row>
    <row r="38" customFormat="false" ht="21.75" hidden="false" customHeight="true" outlineLevel="0" collapsed="false">
      <c r="B38" s="49" t="n">
        <v>33</v>
      </c>
      <c r="C38" s="49"/>
      <c r="D38" s="49"/>
      <c r="E38" s="49"/>
      <c r="F38" s="49"/>
      <c r="G38" s="49"/>
      <c r="H38" s="49"/>
      <c r="I38" s="49"/>
      <c r="J38" s="49"/>
      <c r="K38" s="50"/>
      <c r="L38" s="50"/>
      <c r="M38" s="50"/>
      <c r="N38" s="49"/>
      <c r="O38" s="49"/>
      <c r="P38" s="49"/>
      <c r="Q38" s="50"/>
    </row>
    <row r="39" customFormat="false" ht="21.75" hidden="false" customHeight="true" outlineLevel="0" collapsed="false">
      <c r="B39" s="49" t="n">
        <v>34</v>
      </c>
      <c r="C39" s="49"/>
      <c r="D39" s="49"/>
      <c r="E39" s="49"/>
      <c r="F39" s="49"/>
      <c r="G39" s="49"/>
      <c r="H39" s="49"/>
      <c r="I39" s="49"/>
      <c r="J39" s="49"/>
      <c r="K39" s="50"/>
      <c r="L39" s="50"/>
      <c r="M39" s="50"/>
      <c r="N39" s="49"/>
      <c r="O39" s="49"/>
      <c r="P39" s="49"/>
      <c r="Q39" s="50"/>
    </row>
    <row r="40" customFormat="false" ht="21.75" hidden="false" customHeight="true" outlineLevel="0" collapsed="false">
      <c r="B40" s="49" t="n">
        <v>35</v>
      </c>
      <c r="C40" s="49"/>
      <c r="D40" s="49"/>
      <c r="E40" s="49"/>
      <c r="F40" s="49"/>
      <c r="G40" s="49"/>
      <c r="H40" s="49"/>
      <c r="I40" s="49"/>
      <c r="J40" s="49"/>
      <c r="K40" s="50"/>
      <c r="L40" s="50"/>
      <c r="M40" s="50"/>
      <c r="N40" s="49"/>
      <c r="O40" s="49"/>
      <c r="P40" s="49"/>
      <c r="Q40" s="50"/>
    </row>
    <row r="41" customFormat="false" ht="21.75" hidden="false" customHeight="true" outlineLevel="0" collapsed="false">
      <c r="B41" s="49" t="n">
        <v>36</v>
      </c>
      <c r="C41" s="49"/>
      <c r="D41" s="49"/>
      <c r="E41" s="49"/>
      <c r="F41" s="49"/>
      <c r="G41" s="49"/>
      <c r="H41" s="49"/>
      <c r="I41" s="49"/>
      <c r="J41" s="49"/>
      <c r="K41" s="50"/>
      <c r="L41" s="50"/>
      <c r="M41" s="50"/>
      <c r="N41" s="49"/>
      <c r="O41" s="49"/>
      <c r="P41" s="49"/>
      <c r="Q41" s="50"/>
    </row>
    <row r="42" customFormat="false" ht="21.75" hidden="false" customHeight="true" outlineLevel="0" collapsed="false">
      <c r="B42" s="49" t="n">
        <v>37</v>
      </c>
      <c r="C42" s="49"/>
      <c r="D42" s="49"/>
      <c r="E42" s="49"/>
      <c r="F42" s="49"/>
      <c r="G42" s="49"/>
      <c r="H42" s="49"/>
      <c r="I42" s="49"/>
      <c r="J42" s="49"/>
      <c r="K42" s="50"/>
      <c r="L42" s="50"/>
      <c r="M42" s="50"/>
      <c r="N42" s="49"/>
      <c r="O42" s="49"/>
      <c r="P42" s="49"/>
      <c r="Q42" s="50"/>
    </row>
    <row r="43" customFormat="false" ht="21.75" hidden="false" customHeight="true" outlineLevel="0" collapsed="false">
      <c r="B43" s="49" t="n">
        <v>38</v>
      </c>
      <c r="C43" s="49"/>
      <c r="D43" s="49"/>
      <c r="E43" s="49"/>
      <c r="F43" s="49"/>
      <c r="G43" s="49"/>
      <c r="H43" s="49"/>
      <c r="I43" s="49"/>
      <c r="J43" s="49"/>
      <c r="K43" s="50"/>
      <c r="L43" s="50"/>
      <c r="M43" s="50"/>
      <c r="N43" s="49"/>
      <c r="O43" s="49"/>
      <c r="P43" s="49"/>
      <c r="Q43" s="50"/>
    </row>
    <row r="44" customFormat="false" ht="21.75" hidden="false" customHeight="true" outlineLevel="0" collapsed="false">
      <c r="B44" s="49" t="n">
        <v>39</v>
      </c>
      <c r="C44" s="49"/>
      <c r="D44" s="49"/>
      <c r="E44" s="49"/>
      <c r="F44" s="49"/>
      <c r="G44" s="49"/>
      <c r="H44" s="49"/>
      <c r="I44" s="49"/>
      <c r="J44" s="49"/>
      <c r="K44" s="50"/>
      <c r="L44" s="50"/>
      <c r="M44" s="50"/>
      <c r="N44" s="49"/>
      <c r="O44" s="49"/>
      <c r="P44" s="49"/>
      <c r="Q44" s="50"/>
    </row>
    <row r="45" customFormat="false" ht="21.75" hidden="false" customHeight="true" outlineLevel="0" collapsed="false">
      <c r="B45" s="49" t="n">
        <v>40</v>
      </c>
      <c r="C45" s="49"/>
      <c r="D45" s="49"/>
      <c r="E45" s="49"/>
      <c r="F45" s="49"/>
      <c r="G45" s="49"/>
      <c r="H45" s="49"/>
      <c r="I45" s="49"/>
      <c r="J45" s="49"/>
      <c r="K45" s="50"/>
      <c r="L45" s="50"/>
      <c r="M45" s="50"/>
      <c r="N45" s="49"/>
      <c r="O45" s="49"/>
      <c r="P45" s="49"/>
      <c r="Q45" s="50"/>
    </row>
  </sheetData>
  <autoFilter ref="B5:Q45"/>
  <mergeCells count="2">
    <mergeCell ref="B2:T2"/>
    <mergeCell ref="B3:T3"/>
  </mergeCells>
  <dataValidations count="5">
    <dataValidation allowBlank="true" errorStyle="stop" operator="between" showDropDown="false" showErrorMessage="false" showInputMessage="false" sqref="G6:G45" type="list">
      <formula1>"Camp 1W,Camp 6,Camp 21,Camp 24"</formula1>
      <formula2>0</formula2>
    </dataValidation>
    <dataValidation allowBlank="true" errorStyle="stop" operator="between" showDropDown="false" showErrorMessage="false" showInputMessage="false" sqref="J6:J45" type="list">
      <formula1>"Education (Result 1),Child Protection (Result 2),GBV (referral to SC),Distribution/NFI,Health (referral to SC),General/Other"</formula1>
      <formula2>0</formula2>
    </dataValidation>
    <dataValidation allowBlank="true" errorStyle="stop" operator="between" showDropDown="false" showErrorMessage="false" showInputMessage="false" sqref="L6:L45" type="list">
      <formula1>"0. Thank you messages / general information,1. Request for information,2. Request for assistance,3. Minor dissatisfaction with activities or suggestions for improvement,4. Major dissatisfaction with activities or suggestions for improvement,5. Breaches of"</formula1>
      <formula2>0</formula2>
    </dataValidation>
    <dataValidation allowBlank="true" errorStyle="stop" operator="between" showDropDown="false" showErrorMessage="false" showInputMessage="false" sqref="N6:N45" type="list">
      <formula1>"Resolved,Unresolved,In progress"</formula1>
      <formula2>0</formula2>
    </dataValidation>
    <dataValidation allowBlank="true" errorStyle="stop" operator="between" showDropDown="false" showErrorMessage="false" showInputMessage="false" sqref="P6:P4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5" min="3" style="0" width="14"/>
    <col collapsed="false" customWidth="true" hidden="false" outlineLevel="0" max="6" min="6" style="0" width="22"/>
    <col collapsed="false" customWidth="true" hidden="false" outlineLevel="0" max="8" min="7" style="0" width="10"/>
  </cols>
  <sheetData>
    <row r="2" customFormat="false" ht="21.75" hidden="false" customHeight="true" outlineLevel="0" collapsed="false">
      <c r="B2" s="12" t="s">
        <v>495</v>
      </c>
      <c r="C2" s="12"/>
      <c r="D2" s="12"/>
      <c r="E2" s="12"/>
      <c r="F2" s="12"/>
      <c r="G2" s="12"/>
      <c r="H2" s="12"/>
    </row>
    <row r="3" customFormat="false" ht="43.25" hidden="false" customHeight="true" outlineLevel="0" collapsed="false">
      <c r="B3" s="13" t="s">
        <v>496</v>
      </c>
      <c r="C3" s="13"/>
      <c r="D3" s="13"/>
      <c r="E3" s="13"/>
      <c r="F3" s="13"/>
      <c r="G3" s="13"/>
      <c r="H3" s="13"/>
    </row>
    <row r="5" customFormat="false" ht="21.75" hidden="false" customHeight="true" outlineLevel="0" collapsed="false">
      <c r="B5" s="9" t="s">
        <v>497</v>
      </c>
      <c r="C5" s="9"/>
      <c r="D5" s="9"/>
      <c r="E5" s="9"/>
      <c r="F5" s="9"/>
      <c r="G5" s="9"/>
      <c r="H5" s="9"/>
    </row>
    <row r="6" customFormat="false" ht="18" hidden="false" customHeight="true" outlineLevel="0" collapsed="false">
      <c r="B6" s="52" t="s">
        <v>498</v>
      </c>
      <c r="C6" s="52"/>
      <c r="D6" s="52"/>
      <c r="E6" s="52"/>
      <c r="F6" s="52"/>
      <c r="G6" s="52"/>
      <c r="H6" s="52"/>
    </row>
    <row r="7" customFormat="false" ht="15" hidden="false" customHeight="false" outlineLevel="0" collapsed="false">
      <c r="B7" s="15" t="s">
        <v>499</v>
      </c>
      <c r="C7" s="15" t="s">
        <v>419</v>
      </c>
      <c r="D7" s="15" t="s">
        <v>420</v>
      </c>
      <c r="E7" s="15" t="s">
        <v>421</v>
      </c>
      <c r="F7" s="15" t="s">
        <v>422</v>
      </c>
      <c r="G7" s="15" t="s">
        <v>395</v>
      </c>
      <c r="H7" s="15" t="s">
        <v>55</v>
      </c>
    </row>
    <row r="8" customFormat="false" ht="27.75" hidden="false" customHeight="true" outlineLevel="0" collapsed="false">
      <c r="B8" s="16" t="s">
        <v>500</v>
      </c>
      <c r="C8" s="16" t="s">
        <v>501</v>
      </c>
      <c r="D8" s="16" t="s">
        <v>501</v>
      </c>
      <c r="E8" s="16" t="s">
        <v>502</v>
      </c>
      <c r="F8" s="16" t="s">
        <v>502</v>
      </c>
      <c r="G8" s="16" t="s">
        <v>503</v>
      </c>
      <c r="H8" s="16" t="s">
        <v>504</v>
      </c>
    </row>
    <row r="9" customFormat="false" ht="27.75" hidden="false" customHeight="true" outlineLevel="0" collapsed="false">
      <c r="B9" s="17" t="s">
        <v>505</v>
      </c>
      <c r="C9" s="17" t="s">
        <v>506</v>
      </c>
      <c r="D9" s="17" t="s">
        <v>507</v>
      </c>
      <c r="E9" s="17" t="s">
        <v>508</v>
      </c>
      <c r="F9" s="17" t="s">
        <v>508</v>
      </c>
      <c r="G9" s="17" t="s">
        <v>509</v>
      </c>
      <c r="H9" s="17" t="s">
        <v>504</v>
      </c>
    </row>
    <row r="10" customFormat="false" ht="27.75" hidden="false" customHeight="true" outlineLevel="0" collapsed="false">
      <c r="B10" s="16" t="s">
        <v>510</v>
      </c>
      <c r="C10" s="16" t="s">
        <v>511</v>
      </c>
      <c r="D10" s="16" t="s">
        <v>512</v>
      </c>
      <c r="E10" s="16" t="s">
        <v>501</v>
      </c>
      <c r="F10" s="16" t="s">
        <v>501</v>
      </c>
      <c r="G10" s="16" t="s">
        <v>513</v>
      </c>
      <c r="H10" s="16" t="s">
        <v>514</v>
      </c>
    </row>
    <row r="11" customFormat="false" ht="27.75" hidden="false" customHeight="true" outlineLevel="0" collapsed="false">
      <c r="B11" s="17" t="s">
        <v>515</v>
      </c>
      <c r="C11" s="17" t="s">
        <v>516</v>
      </c>
      <c r="D11" s="17" t="s">
        <v>516</v>
      </c>
      <c r="E11" s="17" t="s">
        <v>507</v>
      </c>
      <c r="F11" s="17" t="s">
        <v>507</v>
      </c>
      <c r="G11" s="17" t="s">
        <v>517</v>
      </c>
      <c r="H11" s="17" t="s">
        <v>518</v>
      </c>
    </row>
    <row r="12" customFormat="false" ht="43.25" hidden="false" customHeight="true" outlineLevel="0" collapsed="false">
      <c r="B12" s="13" t="s">
        <v>519</v>
      </c>
      <c r="C12" s="13"/>
      <c r="D12" s="13"/>
      <c r="E12" s="13"/>
      <c r="F12" s="13"/>
      <c r="G12" s="13"/>
      <c r="H12" s="13"/>
    </row>
    <row r="14" customFormat="false" ht="18" hidden="false" customHeight="true" outlineLevel="0" collapsed="false">
      <c r="B14" s="52" t="s">
        <v>520</v>
      </c>
      <c r="C14" s="52"/>
      <c r="D14" s="52"/>
      <c r="E14" s="52"/>
      <c r="F14" s="52"/>
      <c r="G14" s="52"/>
      <c r="H14" s="52"/>
    </row>
    <row r="15" customFormat="false" ht="35.05" hidden="false" customHeight="false" outlineLevel="0" collapsed="false">
      <c r="B15" s="15" t="s">
        <v>436</v>
      </c>
      <c r="C15" s="15" t="s">
        <v>521</v>
      </c>
      <c r="D15" s="15" t="s">
        <v>522</v>
      </c>
      <c r="E15" s="15" t="s">
        <v>523</v>
      </c>
      <c r="F15" s="15" t="s">
        <v>524</v>
      </c>
    </row>
    <row r="16" customFormat="false" ht="35.05" hidden="false" customHeight="false" outlineLevel="0" collapsed="false">
      <c r="B16" s="16" t="s">
        <v>525</v>
      </c>
      <c r="C16" s="16" t="s">
        <v>526</v>
      </c>
      <c r="D16" s="16" t="s">
        <v>527</v>
      </c>
      <c r="E16" s="16" t="s">
        <v>528</v>
      </c>
      <c r="F16" s="16" t="s">
        <v>529</v>
      </c>
    </row>
    <row r="17" customFormat="false" ht="23.85" hidden="false" customHeight="false" outlineLevel="0" collapsed="false">
      <c r="B17" s="17" t="s">
        <v>530</v>
      </c>
      <c r="C17" s="17" t="s">
        <v>531</v>
      </c>
      <c r="D17" s="17" t="s">
        <v>532</v>
      </c>
      <c r="E17" s="17" t="s">
        <v>533</v>
      </c>
      <c r="F17" s="17" t="s">
        <v>534</v>
      </c>
    </row>
    <row r="18" customFormat="false" ht="23.85" hidden="false" customHeight="false" outlineLevel="0" collapsed="false">
      <c r="B18" s="16" t="s">
        <v>535</v>
      </c>
      <c r="C18" s="16" t="s">
        <v>536</v>
      </c>
      <c r="D18" s="16" t="s">
        <v>537</v>
      </c>
      <c r="E18" s="16" t="s">
        <v>538</v>
      </c>
      <c r="F18" s="16" t="s">
        <v>539</v>
      </c>
    </row>
    <row r="19" customFormat="false" ht="23.85" hidden="false" customHeight="false" outlineLevel="0" collapsed="false">
      <c r="B19" s="17" t="s">
        <v>540</v>
      </c>
      <c r="C19" s="17" t="s">
        <v>536</v>
      </c>
      <c r="D19" s="17" t="s">
        <v>537</v>
      </c>
      <c r="E19" s="17" t="s">
        <v>538</v>
      </c>
      <c r="F19" s="17" t="s">
        <v>539</v>
      </c>
    </row>
    <row r="20" customFormat="false" ht="57.45" hidden="false" customHeight="false" outlineLevel="0" collapsed="false">
      <c r="B20" s="16" t="s">
        <v>541</v>
      </c>
      <c r="C20" s="16" t="s">
        <v>542</v>
      </c>
      <c r="D20" s="16" t="s">
        <v>543</v>
      </c>
      <c r="E20" s="16" t="s">
        <v>528</v>
      </c>
      <c r="F20" s="16" t="s">
        <v>544</v>
      </c>
    </row>
    <row r="21" customFormat="false" ht="35.05" hidden="false" customHeight="false" outlineLevel="0" collapsed="false">
      <c r="B21" s="17" t="s">
        <v>545</v>
      </c>
      <c r="C21" s="17" t="s">
        <v>546</v>
      </c>
      <c r="D21" s="17" t="s">
        <v>543</v>
      </c>
      <c r="E21" s="17" t="s">
        <v>543</v>
      </c>
      <c r="F21" s="17" t="s">
        <v>547</v>
      </c>
    </row>
    <row r="22" customFormat="false" ht="46.25" hidden="false" customHeight="false" outlineLevel="0" collapsed="false">
      <c r="B22" s="16" t="s">
        <v>548</v>
      </c>
      <c r="C22" s="16" t="s">
        <v>542</v>
      </c>
      <c r="D22" s="16" t="s">
        <v>543</v>
      </c>
      <c r="E22" s="16" t="s">
        <v>543</v>
      </c>
      <c r="F22" s="16" t="s">
        <v>549</v>
      </c>
    </row>
    <row r="23" customFormat="false" ht="35.05" hidden="false" customHeight="false" outlineLevel="0" collapsed="false">
      <c r="B23" s="17" t="s">
        <v>550</v>
      </c>
      <c r="C23" s="17" t="s">
        <v>551</v>
      </c>
      <c r="D23" s="17" t="s">
        <v>543</v>
      </c>
      <c r="E23" s="17" t="s">
        <v>543</v>
      </c>
      <c r="F23" s="17" t="s">
        <v>552</v>
      </c>
    </row>
    <row r="24" customFormat="false" ht="53.7" hidden="false" customHeight="true" outlineLevel="0" collapsed="false">
      <c r="B24" s="13" t="s">
        <v>553</v>
      </c>
      <c r="C24" s="13"/>
      <c r="D24" s="13"/>
      <c r="E24" s="13"/>
      <c r="F24" s="13"/>
      <c r="G24" s="13"/>
      <c r="H24" s="13"/>
    </row>
    <row r="26" customFormat="false" ht="21.75" hidden="false" customHeight="true" outlineLevel="0" collapsed="false">
      <c r="B26" s="9" t="s">
        <v>554</v>
      </c>
      <c r="C26" s="9"/>
      <c r="D26" s="9"/>
      <c r="E26" s="9"/>
      <c r="F26" s="9"/>
      <c r="G26" s="9"/>
      <c r="H26" s="9"/>
    </row>
    <row r="27" customFormat="false" ht="18" hidden="false" customHeight="true" outlineLevel="0" collapsed="false">
      <c r="B27" s="52" t="s">
        <v>555</v>
      </c>
      <c r="C27" s="52"/>
      <c r="D27" s="52"/>
      <c r="E27" s="52"/>
      <c r="F27" s="52"/>
      <c r="G27" s="52"/>
      <c r="H27" s="52"/>
    </row>
    <row r="28" customFormat="false" ht="15" hidden="false" customHeight="false" outlineLevel="0" collapsed="false">
      <c r="B28" s="15" t="s">
        <v>499</v>
      </c>
      <c r="C28" s="15" t="s">
        <v>419</v>
      </c>
      <c r="D28" s="15" t="s">
        <v>420</v>
      </c>
      <c r="E28" s="15" t="s">
        <v>421</v>
      </c>
      <c r="F28" s="15" t="s">
        <v>422</v>
      </c>
      <c r="G28" s="15" t="s">
        <v>395</v>
      </c>
      <c r="H28" s="15" t="s">
        <v>55</v>
      </c>
    </row>
    <row r="29" customFormat="false" ht="27.75" hidden="false" customHeight="true" outlineLevel="0" collapsed="false">
      <c r="B29" s="16" t="s">
        <v>556</v>
      </c>
      <c r="C29" s="16" t="s">
        <v>557</v>
      </c>
      <c r="D29" s="16" t="s">
        <v>557</v>
      </c>
      <c r="E29" s="16" t="s">
        <v>557</v>
      </c>
      <c r="F29" s="16" t="s">
        <v>557</v>
      </c>
      <c r="G29" s="16" t="s">
        <v>558</v>
      </c>
      <c r="H29" s="16" t="s">
        <v>559</v>
      </c>
    </row>
    <row r="30" customFormat="false" ht="27.75" hidden="false" customHeight="true" outlineLevel="0" collapsed="false">
      <c r="B30" s="17" t="s">
        <v>560</v>
      </c>
      <c r="C30" s="17" t="s">
        <v>557</v>
      </c>
      <c r="D30" s="17" t="s">
        <v>561</v>
      </c>
      <c r="E30" s="17" t="s">
        <v>561</v>
      </c>
      <c r="F30" s="17" t="s">
        <v>557</v>
      </c>
      <c r="G30" s="17" t="s">
        <v>562</v>
      </c>
      <c r="H30" s="17" t="s">
        <v>559</v>
      </c>
    </row>
    <row r="31" customFormat="false" ht="27.75" hidden="false" customHeight="true" outlineLevel="0" collapsed="false">
      <c r="B31" s="16" t="s">
        <v>563</v>
      </c>
      <c r="C31" s="16" t="s">
        <v>562</v>
      </c>
      <c r="D31" s="16" t="s">
        <v>557</v>
      </c>
      <c r="E31" s="16" t="s">
        <v>557</v>
      </c>
      <c r="F31" s="16" t="s">
        <v>562</v>
      </c>
      <c r="G31" s="16" t="s">
        <v>506</v>
      </c>
      <c r="H31" s="16" t="s">
        <v>559</v>
      </c>
    </row>
    <row r="32" customFormat="false" ht="27.75" hidden="false" customHeight="true" outlineLevel="0" collapsed="false">
      <c r="B32" s="17" t="s">
        <v>564</v>
      </c>
      <c r="C32" s="17" t="s">
        <v>557</v>
      </c>
      <c r="D32" s="17" t="s">
        <v>557</v>
      </c>
      <c r="E32" s="17" t="s">
        <v>557</v>
      </c>
      <c r="F32" s="17" t="s">
        <v>557</v>
      </c>
      <c r="G32" s="17" t="s">
        <v>558</v>
      </c>
      <c r="H32" s="17" t="s">
        <v>565</v>
      </c>
    </row>
    <row r="33" customFormat="false" ht="27.75" hidden="false" customHeight="true" outlineLevel="0" collapsed="false">
      <c r="B33" s="16" t="s">
        <v>566</v>
      </c>
      <c r="C33" s="16" t="s">
        <v>543</v>
      </c>
      <c r="D33" s="16" t="s">
        <v>543</v>
      </c>
      <c r="E33" s="16" t="s">
        <v>543</v>
      </c>
      <c r="F33" s="16" t="s">
        <v>543</v>
      </c>
      <c r="G33" s="16" t="s">
        <v>516</v>
      </c>
      <c r="H33" s="16" t="s">
        <v>567</v>
      </c>
    </row>
    <row r="34" customFormat="false" ht="22.35" hidden="false" customHeight="true" outlineLevel="0" collapsed="false">
      <c r="B34" s="13" t="s">
        <v>568</v>
      </c>
      <c r="C34" s="13"/>
      <c r="D34" s="13"/>
      <c r="E34" s="13"/>
      <c r="F34" s="13"/>
      <c r="G34" s="13"/>
      <c r="H34" s="13"/>
    </row>
    <row r="36" customFormat="false" ht="18" hidden="false" customHeight="true" outlineLevel="0" collapsed="false">
      <c r="B36" s="52" t="s">
        <v>569</v>
      </c>
      <c r="C36" s="52"/>
      <c r="D36" s="52"/>
      <c r="E36" s="52"/>
      <c r="F36" s="52"/>
      <c r="G36" s="52"/>
      <c r="H36" s="52"/>
    </row>
    <row r="37" customFormat="false" ht="15" hidden="false" customHeight="false" outlineLevel="0" collapsed="false">
      <c r="B37" s="15" t="s">
        <v>436</v>
      </c>
      <c r="C37" s="15" t="s">
        <v>394</v>
      </c>
      <c r="D37" s="15" t="s">
        <v>393</v>
      </c>
      <c r="E37" s="15" t="s">
        <v>395</v>
      </c>
      <c r="F37" s="15" t="s">
        <v>523</v>
      </c>
      <c r="G37" s="15" t="s">
        <v>55</v>
      </c>
    </row>
    <row r="38" customFormat="false" ht="46.25" hidden="false" customHeight="false" outlineLevel="0" collapsed="false">
      <c r="B38" s="16" t="s">
        <v>570</v>
      </c>
      <c r="C38" s="16" t="s">
        <v>527</v>
      </c>
      <c r="D38" s="16" t="s">
        <v>527</v>
      </c>
      <c r="E38" s="16" t="s">
        <v>571</v>
      </c>
      <c r="F38" s="16" t="s">
        <v>572</v>
      </c>
      <c r="G38" s="16" t="s">
        <v>565</v>
      </c>
    </row>
    <row r="39" customFormat="false" ht="46.25" hidden="false" customHeight="false" outlineLevel="0" collapsed="false">
      <c r="B39" s="17" t="s">
        <v>573</v>
      </c>
      <c r="C39" s="17" t="s">
        <v>574</v>
      </c>
      <c r="D39" s="17" t="s">
        <v>574</v>
      </c>
      <c r="E39" s="17" t="s">
        <v>575</v>
      </c>
      <c r="F39" s="17" t="s">
        <v>572</v>
      </c>
      <c r="G39" s="17" t="s">
        <v>567</v>
      </c>
    </row>
    <row r="40" customFormat="false" ht="46.25" hidden="false" customHeight="false" outlineLevel="0" collapsed="false">
      <c r="B40" s="16" t="s">
        <v>576</v>
      </c>
      <c r="C40" s="16" t="s">
        <v>572</v>
      </c>
      <c r="D40" s="16" t="s">
        <v>572</v>
      </c>
      <c r="E40" s="16" t="s">
        <v>575</v>
      </c>
      <c r="F40" s="16" t="s">
        <v>543</v>
      </c>
      <c r="G40" s="16" t="s">
        <v>567</v>
      </c>
    </row>
    <row r="41" customFormat="false" ht="46.25" hidden="false" customHeight="false" outlineLevel="0" collapsed="false">
      <c r="B41" s="17" t="s">
        <v>577</v>
      </c>
      <c r="C41" s="17" t="s">
        <v>572</v>
      </c>
      <c r="D41" s="17" t="s">
        <v>572</v>
      </c>
      <c r="E41" s="17" t="s">
        <v>578</v>
      </c>
      <c r="F41" s="17" t="s">
        <v>543</v>
      </c>
      <c r="G41" s="17" t="s">
        <v>567</v>
      </c>
    </row>
    <row r="42" customFormat="false" ht="46.25" hidden="false" customHeight="false" outlineLevel="0" collapsed="false">
      <c r="B42" s="16" t="s">
        <v>579</v>
      </c>
      <c r="C42" s="16" t="s">
        <v>580</v>
      </c>
      <c r="D42" s="16" t="s">
        <v>543</v>
      </c>
      <c r="E42" s="16" t="s">
        <v>580</v>
      </c>
      <c r="F42" s="16" t="s">
        <v>543</v>
      </c>
      <c r="G42" s="16" t="s">
        <v>581</v>
      </c>
    </row>
    <row r="43" customFormat="false" ht="46.25" hidden="false" customHeight="false" outlineLevel="0" collapsed="false">
      <c r="B43" s="17" t="s">
        <v>582</v>
      </c>
      <c r="C43" s="17" t="s">
        <v>572</v>
      </c>
      <c r="D43" s="17" t="s">
        <v>572</v>
      </c>
      <c r="E43" s="17" t="s">
        <v>536</v>
      </c>
      <c r="F43" s="17" t="s">
        <v>543</v>
      </c>
      <c r="G43" s="17" t="s">
        <v>567</v>
      </c>
    </row>
    <row r="44" customFormat="false" ht="46.25" hidden="false" customHeight="false" outlineLevel="0" collapsed="false">
      <c r="B44" s="16" t="s">
        <v>583</v>
      </c>
      <c r="C44" s="16" t="s">
        <v>572</v>
      </c>
      <c r="D44" s="16" t="s">
        <v>572</v>
      </c>
      <c r="E44" s="16" t="s">
        <v>516</v>
      </c>
      <c r="F44" s="16" t="s">
        <v>543</v>
      </c>
      <c r="G44" s="16" t="s">
        <v>565</v>
      </c>
    </row>
    <row r="45" customFormat="false" ht="21.75" hidden="false" customHeight="true" outlineLevel="0" collapsed="false">
      <c r="B45" s="46" t="s">
        <v>584</v>
      </c>
      <c r="C45" s="53" t="s">
        <v>543</v>
      </c>
      <c r="D45" s="53" t="s">
        <v>543</v>
      </c>
      <c r="E45" s="53" t="s">
        <v>585</v>
      </c>
      <c r="F45" s="53" t="s">
        <v>543</v>
      </c>
    </row>
    <row r="46" customFormat="false" ht="43.25" hidden="false" customHeight="true" outlineLevel="0" collapsed="false">
      <c r="B46" s="13" t="s">
        <v>586</v>
      </c>
      <c r="C46" s="13"/>
      <c r="D46" s="13"/>
      <c r="E46" s="13"/>
      <c r="F46" s="13"/>
      <c r="G46" s="13"/>
      <c r="H46" s="13"/>
    </row>
    <row r="48" customFormat="false" ht="21.75" hidden="false" customHeight="true" outlineLevel="0" collapsed="false">
      <c r="B48" s="9" t="s">
        <v>587</v>
      </c>
      <c r="C48" s="9"/>
      <c r="D48" s="9"/>
      <c r="E48" s="9"/>
      <c r="F48" s="9"/>
      <c r="G48" s="9"/>
      <c r="H48" s="9"/>
    </row>
    <row r="49" customFormat="false" ht="32.8" hidden="false" customHeight="true" outlineLevel="0" collapsed="false">
      <c r="B49" s="13" t="s">
        <v>588</v>
      </c>
      <c r="C49" s="13"/>
      <c r="D49" s="13"/>
      <c r="E49" s="13"/>
      <c r="F49" s="13"/>
      <c r="G49" s="13"/>
      <c r="H49" s="13"/>
    </row>
  </sheetData>
  <mergeCells count="14">
    <mergeCell ref="B2:H2"/>
    <mergeCell ref="B3:H3"/>
    <mergeCell ref="B5:H5"/>
    <mergeCell ref="B6:H6"/>
    <mergeCell ref="B12:H12"/>
    <mergeCell ref="B14:H14"/>
    <mergeCell ref="B24:H24"/>
    <mergeCell ref="B26:H26"/>
    <mergeCell ref="B27:H27"/>
    <mergeCell ref="B34:H34"/>
    <mergeCell ref="B36:H36"/>
    <mergeCell ref="B46:H46"/>
    <mergeCell ref="B48:H48"/>
    <mergeCell ref="B49:H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6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2"/>
    <col collapsed="false" customWidth="true" hidden="false" outlineLevel="0" max="3" min="3" style="0" width="60"/>
    <col collapsed="false" customWidth="true" hidden="false" outlineLevel="0" max="5" min="4" style="0" width="20"/>
  </cols>
  <sheetData>
    <row r="2" customFormat="false" ht="21.75" hidden="false" customHeight="true" outlineLevel="0" collapsed="false">
      <c r="B2" s="12" t="s">
        <v>589</v>
      </c>
      <c r="C2" s="12"/>
      <c r="D2" s="12"/>
      <c r="E2" s="12"/>
    </row>
    <row r="3" customFormat="false" ht="22.35" hidden="false" customHeight="true" outlineLevel="0" collapsed="false">
      <c r="B3" s="13" t="s">
        <v>590</v>
      </c>
      <c r="C3" s="13"/>
      <c r="D3" s="13"/>
      <c r="E3" s="13"/>
    </row>
    <row r="5" customFormat="false" ht="19.5" hidden="false" customHeight="true" outlineLevel="0" collapsed="false">
      <c r="B5" s="15" t="s">
        <v>591</v>
      </c>
      <c r="C5" s="15" t="s">
        <v>592</v>
      </c>
      <c r="D5" s="15" t="s">
        <v>593</v>
      </c>
      <c r="E5" s="15" t="s">
        <v>594</v>
      </c>
    </row>
    <row r="6" customFormat="false" ht="24" hidden="false" customHeight="true" outlineLevel="0" collapsed="false">
      <c r="B6" s="31" t="s">
        <v>595</v>
      </c>
      <c r="C6" s="31"/>
      <c r="D6" s="31"/>
      <c r="E6" s="31"/>
    </row>
    <row r="7" customFormat="false" ht="21" hidden="false" customHeight="true" outlineLevel="0" collapsed="false">
      <c r="B7" s="16" t="s">
        <v>596</v>
      </c>
      <c r="C7" s="16" t="s">
        <v>597</v>
      </c>
      <c r="D7" s="16" t="s">
        <v>598</v>
      </c>
      <c r="E7" s="16" t="s">
        <v>197</v>
      </c>
    </row>
    <row r="8" customFormat="false" ht="33.75" hidden="false" customHeight="true" outlineLevel="0" collapsed="false">
      <c r="B8" s="16" t="s">
        <v>599</v>
      </c>
      <c r="C8" s="16" t="s">
        <v>600</v>
      </c>
      <c r="D8" s="16" t="s">
        <v>598</v>
      </c>
      <c r="E8" s="16" t="s">
        <v>197</v>
      </c>
    </row>
    <row r="9" customFormat="false" ht="21" hidden="false" customHeight="true" outlineLevel="0" collapsed="false">
      <c r="B9" s="16" t="s">
        <v>601</v>
      </c>
      <c r="C9" s="16" t="s">
        <v>602</v>
      </c>
      <c r="D9" s="16" t="s">
        <v>598</v>
      </c>
      <c r="E9" s="16" t="s">
        <v>197</v>
      </c>
    </row>
    <row r="10" customFormat="false" ht="21" hidden="false" customHeight="true" outlineLevel="0" collapsed="false">
      <c r="B10" s="16" t="s">
        <v>603</v>
      </c>
      <c r="C10" s="16" t="s">
        <v>604</v>
      </c>
      <c r="D10" s="16" t="s">
        <v>605</v>
      </c>
      <c r="E10" s="16" t="s">
        <v>197</v>
      </c>
    </row>
    <row r="11" customFormat="false" ht="21" hidden="false" customHeight="true" outlineLevel="0" collapsed="false">
      <c r="B11" s="16" t="s">
        <v>606</v>
      </c>
      <c r="C11" s="16" t="s">
        <v>607</v>
      </c>
      <c r="D11" s="16" t="s">
        <v>605</v>
      </c>
      <c r="E11" s="16" t="s">
        <v>197</v>
      </c>
    </row>
    <row r="12" customFormat="false" ht="33.75" hidden="false" customHeight="true" outlineLevel="0" collapsed="false">
      <c r="B12" s="16" t="s">
        <v>608</v>
      </c>
      <c r="C12" s="16" t="s">
        <v>609</v>
      </c>
      <c r="D12" s="16" t="s">
        <v>598</v>
      </c>
      <c r="E12" s="16" t="s">
        <v>197</v>
      </c>
    </row>
    <row r="13" customFormat="false" ht="21" hidden="false" customHeight="true" outlineLevel="0" collapsed="false">
      <c r="B13" s="16" t="s">
        <v>610</v>
      </c>
      <c r="C13" s="16" t="s">
        <v>611</v>
      </c>
      <c r="D13" s="16" t="s">
        <v>612</v>
      </c>
      <c r="E13" s="16" t="s">
        <v>197</v>
      </c>
    </row>
    <row r="14" customFormat="false" ht="33.75" hidden="false" customHeight="true" outlineLevel="0" collapsed="false">
      <c r="B14" s="16" t="s">
        <v>613</v>
      </c>
      <c r="C14" s="16" t="s">
        <v>614</v>
      </c>
      <c r="D14" s="16" t="s">
        <v>598</v>
      </c>
      <c r="E14" s="16" t="s">
        <v>197</v>
      </c>
    </row>
    <row r="15" customFormat="false" ht="21" hidden="false" customHeight="true" outlineLevel="0" collapsed="false">
      <c r="B15" s="16" t="s">
        <v>615</v>
      </c>
      <c r="C15" s="16" t="s">
        <v>616</v>
      </c>
      <c r="D15" s="16" t="s">
        <v>598</v>
      </c>
      <c r="E15" s="16" t="s">
        <v>197</v>
      </c>
    </row>
    <row r="16" customFormat="false" ht="21" hidden="false" customHeight="true" outlineLevel="0" collapsed="false">
      <c r="B16" s="16" t="s">
        <v>617</v>
      </c>
      <c r="C16" s="16" t="s">
        <v>618</v>
      </c>
      <c r="D16" s="16" t="s">
        <v>598</v>
      </c>
      <c r="E16" s="16" t="s">
        <v>197</v>
      </c>
    </row>
    <row r="17" customFormat="false" ht="21" hidden="false" customHeight="true" outlineLevel="0" collapsed="false">
      <c r="B17" s="16" t="s">
        <v>619</v>
      </c>
      <c r="C17" s="16" t="s">
        <v>620</v>
      </c>
      <c r="D17" s="16" t="s">
        <v>605</v>
      </c>
      <c r="E17" s="16" t="s">
        <v>197</v>
      </c>
    </row>
    <row r="18" customFormat="false" ht="21" hidden="false" customHeight="true" outlineLevel="0" collapsed="false">
      <c r="B18" s="16" t="s">
        <v>621</v>
      </c>
      <c r="C18" s="16" t="s">
        <v>622</v>
      </c>
      <c r="D18" s="16" t="s">
        <v>598</v>
      </c>
      <c r="E18" s="16" t="s">
        <v>197</v>
      </c>
    </row>
    <row r="19" customFormat="false" ht="21" hidden="false" customHeight="true" outlineLevel="0" collapsed="false">
      <c r="B19" s="16" t="s">
        <v>623</v>
      </c>
      <c r="C19" s="16" t="s">
        <v>624</v>
      </c>
      <c r="D19" s="16" t="s">
        <v>598</v>
      </c>
      <c r="E19" s="16" t="s">
        <v>197</v>
      </c>
    </row>
    <row r="20" customFormat="false" ht="21" hidden="false" customHeight="true" outlineLevel="0" collapsed="false">
      <c r="B20" s="16" t="s">
        <v>625</v>
      </c>
      <c r="C20" s="16" t="s">
        <v>626</v>
      </c>
      <c r="D20" s="16" t="s">
        <v>605</v>
      </c>
      <c r="E20" s="16" t="s">
        <v>197</v>
      </c>
    </row>
    <row r="21" customFormat="false" ht="21" hidden="false" customHeight="true" outlineLevel="0" collapsed="false">
      <c r="B21" s="16" t="s">
        <v>627</v>
      </c>
      <c r="C21" s="16" t="s">
        <v>628</v>
      </c>
      <c r="D21" s="16" t="s">
        <v>598</v>
      </c>
      <c r="E21" s="16" t="s">
        <v>197</v>
      </c>
    </row>
    <row r="22" customFormat="false" ht="21" hidden="false" customHeight="true" outlineLevel="0" collapsed="false">
      <c r="B22" s="16" t="s">
        <v>629</v>
      </c>
      <c r="C22" s="16" t="s">
        <v>630</v>
      </c>
      <c r="D22" s="16" t="s">
        <v>598</v>
      </c>
      <c r="E22" s="16" t="s">
        <v>197</v>
      </c>
    </row>
    <row r="23" customFormat="false" ht="21" hidden="false" customHeight="true" outlineLevel="0" collapsed="false">
      <c r="B23" s="16" t="s">
        <v>631</v>
      </c>
      <c r="C23" s="16" t="s">
        <v>632</v>
      </c>
      <c r="D23" s="16" t="s">
        <v>598</v>
      </c>
      <c r="E23" s="16" t="s">
        <v>197</v>
      </c>
    </row>
    <row r="24" customFormat="false" ht="21" hidden="false" customHeight="true" outlineLevel="0" collapsed="false">
      <c r="B24" s="16" t="s">
        <v>633</v>
      </c>
      <c r="C24" s="16" t="s">
        <v>634</v>
      </c>
      <c r="D24" s="16" t="s">
        <v>605</v>
      </c>
      <c r="E24" s="16" t="s">
        <v>197</v>
      </c>
    </row>
    <row r="25" customFormat="false" ht="21" hidden="false" customHeight="true" outlineLevel="0" collapsed="false">
      <c r="B25" s="16" t="s">
        <v>635</v>
      </c>
      <c r="C25" s="16" t="s">
        <v>636</v>
      </c>
      <c r="D25" s="16" t="s">
        <v>598</v>
      </c>
      <c r="E25" s="16" t="s">
        <v>197</v>
      </c>
    </row>
    <row r="26" customFormat="false" ht="21" hidden="false" customHeight="true" outlineLevel="0" collapsed="false">
      <c r="B26" s="16" t="s">
        <v>637</v>
      </c>
      <c r="C26" s="16" t="s">
        <v>638</v>
      </c>
      <c r="D26" s="16" t="s">
        <v>598</v>
      </c>
      <c r="E26" s="16" t="s">
        <v>197</v>
      </c>
    </row>
    <row r="27" customFormat="false" ht="21" hidden="false" customHeight="true" outlineLevel="0" collapsed="false">
      <c r="B27" s="16" t="s">
        <v>639</v>
      </c>
      <c r="C27" s="16" t="s">
        <v>640</v>
      </c>
      <c r="D27" s="16" t="s">
        <v>598</v>
      </c>
      <c r="E27" s="16" t="s">
        <v>197</v>
      </c>
    </row>
    <row r="28" customFormat="false" ht="21" hidden="false" customHeight="true" outlineLevel="0" collapsed="false">
      <c r="B28" s="16" t="s">
        <v>641</v>
      </c>
      <c r="C28" s="16" t="s">
        <v>642</v>
      </c>
      <c r="D28" s="16" t="s">
        <v>598</v>
      </c>
      <c r="E28" s="16" t="s">
        <v>197</v>
      </c>
    </row>
    <row r="29" customFormat="false" ht="33.75" hidden="false" customHeight="true" outlineLevel="0" collapsed="false">
      <c r="B29" s="16" t="s">
        <v>643</v>
      </c>
      <c r="C29" s="16" t="s">
        <v>644</v>
      </c>
      <c r="D29" s="16" t="s">
        <v>598</v>
      </c>
      <c r="E29" s="16" t="s">
        <v>197</v>
      </c>
    </row>
    <row r="30" customFormat="false" ht="21" hidden="false" customHeight="true" outlineLevel="0" collapsed="false">
      <c r="B30" s="16" t="s">
        <v>645</v>
      </c>
      <c r="C30" s="16" t="s">
        <v>646</v>
      </c>
      <c r="D30" s="16" t="s">
        <v>598</v>
      </c>
      <c r="E30" s="16" t="s">
        <v>197</v>
      </c>
    </row>
    <row r="31" customFormat="false" ht="21" hidden="false" customHeight="true" outlineLevel="0" collapsed="false">
      <c r="B31" s="16" t="s">
        <v>647</v>
      </c>
      <c r="C31" s="16" t="s">
        <v>648</v>
      </c>
      <c r="D31" s="16" t="s">
        <v>605</v>
      </c>
      <c r="E31" s="16" t="s">
        <v>649</v>
      </c>
    </row>
    <row r="32" customFormat="false" ht="21" hidden="false" customHeight="true" outlineLevel="0" collapsed="false">
      <c r="B32" s="16" t="s">
        <v>650</v>
      </c>
      <c r="C32" s="16" t="s">
        <v>651</v>
      </c>
      <c r="D32" s="16" t="s">
        <v>598</v>
      </c>
      <c r="E32" s="16" t="s">
        <v>197</v>
      </c>
    </row>
    <row r="33" customFormat="false" ht="21" hidden="false" customHeight="true" outlineLevel="0" collapsed="false">
      <c r="B33" s="16" t="s">
        <v>652</v>
      </c>
      <c r="C33" s="16" t="s">
        <v>653</v>
      </c>
      <c r="D33" s="16" t="s">
        <v>598</v>
      </c>
      <c r="E33" s="16" t="s">
        <v>197</v>
      </c>
    </row>
    <row r="34" customFormat="false" ht="21" hidden="false" customHeight="true" outlineLevel="0" collapsed="false">
      <c r="B34" s="16" t="s">
        <v>654</v>
      </c>
      <c r="C34" s="16" t="s">
        <v>655</v>
      </c>
      <c r="D34" s="16" t="s">
        <v>605</v>
      </c>
      <c r="E34" s="16" t="s">
        <v>197</v>
      </c>
    </row>
    <row r="35" customFormat="false" ht="21" hidden="false" customHeight="true" outlineLevel="0" collapsed="false">
      <c r="B35" s="16" t="s">
        <v>656</v>
      </c>
      <c r="C35" s="16" t="s">
        <v>657</v>
      </c>
      <c r="D35" s="16" t="s">
        <v>605</v>
      </c>
      <c r="E35" s="16" t="s">
        <v>658</v>
      </c>
    </row>
    <row r="36" customFormat="false" ht="21" hidden="false" customHeight="true" outlineLevel="0" collapsed="false">
      <c r="B36" s="16" t="s">
        <v>659</v>
      </c>
      <c r="C36" s="16" t="s">
        <v>660</v>
      </c>
      <c r="D36" s="16" t="s">
        <v>598</v>
      </c>
      <c r="E36" s="16" t="s">
        <v>197</v>
      </c>
    </row>
    <row r="37" customFormat="false" ht="21" hidden="false" customHeight="true" outlineLevel="0" collapsed="false">
      <c r="B37" s="16" t="s">
        <v>661</v>
      </c>
      <c r="C37" s="16" t="s">
        <v>662</v>
      </c>
      <c r="D37" s="16" t="s">
        <v>605</v>
      </c>
      <c r="E37" s="16" t="s">
        <v>197</v>
      </c>
    </row>
    <row r="38" customFormat="false" ht="21" hidden="false" customHeight="true" outlineLevel="0" collapsed="false">
      <c r="B38" s="16" t="s">
        <v>663</v>
      </c>
      <c r="C38" s="16" t="s">
        <v>664</v>
      </c>
      <c r="D38" s="16" t="s">
        <v>605</v>
      </c>
      <c r="E38" s="16" t="s">
        <v>197</v>
      </c>
    </row>
    <row r="39" customFormat="false" ht="24" hidden="false" customHeight="true" outlineLevel="0" collapsed="false">
      <c r="B39" s="31" t="s">
        <v>665</v>
      </c>
      <c r="C39" s="31"/>
      <c r="D39" s="31"/>
      <c r="E39" s="31"/>
    </row>
    <row r="40" customFormat="false" ht="33.75" hidden="false" customHeight="true" outlineLevel="0" collapsed="false">
      <c r="B40" s="16" t="s">
        <v>666</v>
      </c>
      <c r="C40" s="16" t="s">
        <v>667</v>
      </c>
      <c r="D40" s="16" t="s">
        <v>598</v>
      </c>
      <c r="E40" s="16" t="s">
        <v>649</v>
      </c>
    </row>
    <row r="41" customFormat="false" ht="21" hidden="false" customHeight="true" outlineLevel="0" collapsed="false">
      <c r="B41" s="16" t="s">
        <v>668</v>
      </c>
      <c r="C41" s="16" t="s">
        <v>669</v>
      </c>
      <c r="D41" s="16" t="s">
        <v>605</v>
      </c>
      <c r="E41" s="16" t="s">
        <v>649</v>
      </c>
    </row>
    <row r="42" customFormat="false" ht="21" hidden="false" customHeight="true" outlineLevel="0" collapsed="false">
      <c r="B42" s="16" t="s">
        <v>670</v>
      </c>
      <c r="C42" s="16" t="s">
        <v>671</v>
      </c>
      <c r="D42" s="16" t="s">
        <v>605</v>
      </c>
      <c r="E42" s="16" t="s">
        <v>649</v>
      </c>
    </row>
    <row r="43" customFormat="false" ht="33.75" hidden="false" customHeight="true" outlineLevel="0" collapsed="false">
      <c r="B43" s="16" t="s">
        <v>672</v>
      </c>
      <c r="C43" s="16" t="s">
        <v>673</v>
      </c>
      <c r="D43" s="16" t="s">
        <v>605</v>
      </c>
      <c r="E43" s="16" t="s">
        <v>674</v>
      </c>
    </row>
    <row r="44" customFormat="false" ht="21" hidden="false" customHeight="true" outlineLevel="0" collapsed="false">
      <c r="B44" s="16" t="s">
        <v>675</v>
      </c>
      <c r="C44" s="16" t="s">
        <v>676</v>
      </c>
      <c r="D44" s="16" t="s">
        <v>598</v>
      </c>
      <c r="E44" s="16" t="s">
        <v>649</v>
      </c>
    </row>
    <row r="45" customFormat="false" ht="33.75" hidden="false" customHeight="true" outlineLevel="0" collapsed="false">
      <c r="B45" s="16" t="s">
        <v>677</v>
      </c>
      <c r="C45" s="16" t="s">
        <v>678</v>
      </c>
      <c r="D45" s="16" t="s">
        <v>598</v>
      </c>
      <c r="E45" s="16" t="s">
        <v>649</v>
      </c>
    </row>
    <row r="46" customFormat="false" ht="21" hidden="false" customHeight="true" outlineLevel="0" collapsed="false">
      <c r="B46" s="16" t="s">
        <v>679</v>
      </c>
      <c r="C46" s="16" t="s">
        <v>680</v>
      </c>
      <c r="D46" s="16" t="s">
        <v>598</v>
      </c>
      <c r="E46" s="16" t="s">
        <v>649</v>
      </c>
    </row>
    <row r="47" customFormat="false" ht="21" hidden="false" customHeight="true" outlineLevel="0" collapsed="false">
      <c r="B47" s="16" t="s">
        <v>681</v>
      </c>
      <c r="C47" s="16" t="s">
        <v>682</v>
      </c>
      <c r="D47" s="16" t="s">
        <v>598</v>
      </c>
      <c r="E47" s="16" t="s">
        <v>649</v>
      </c>
    </row>
    <row r="48" customFormat="false" ht="33.75" hidden="false" customHeight="true" outlineLevel="0" collapsed="false">
      <c r="B48" s="16" t="s">
        <v>683</v>
      </c>
      <c r="C48" s="16" t="s">
        <v>684</v>
      </c>
      <c r="D48" s="16" t="s">
        <v>598</v>
      </c>
      <c r="E48" s="16" t="s">
        <v>649</v>
      </c>
    </row>
    <row r="49" customFormat="false" ht="33.75" hidden="false" customHeight="true" outlineLevel="0" collapsed="false">
      <c r="B49" s="16" t="s">
        <v>685</v>
      </c>
      <c r="C49" s="16" t="s">
        <v>686</v>
      </c>
      <c r="D49" s="16" t="s">
        <v>605</v>
      </c>
      <c r="E49" s="16" t="s">
        <v>649</v>
      </c>
    </row>
    <row r="50" customFormat="false" ht="21" hidden="false" customHeight="true" outlineLevel="0" collapsed="false">
      <c r="B50" s="16" t="s">
        <v>687</v>
      </c>
      <c r="C50" s="16" t="s">
        <v>688</v>
      </c>
      <c r="D50" s="16" t="s">
        <v>605</v>
      </c>
      <c r="E50" s="16" t="s">
        <v>649</v>
      </c>
    </row>
    <row r="51" customFormat="false" ht="21" hidden="false" customHeight="true" outlineLevel="0" collapsed="false">
      <c r="B51" s="16" t="s">
        <v>689</v>
      </c>
      <c r="C51" s="16" t="s">
        <v>690</v>
      </c>
      <c r="D51" s="16" t="s">
        <v>605</v>
      </c>
      <c r="E51" s="16" t="s">
        <v>649</v>
      </c>
    </row>
    <row r="52" customFormat="false" ht="33.75" hidden="false" customHeight="true" outlineLevel="0" collapsed="false">
      <c r="B52" s="16" t="s">
        <v>691</v>
      </c>
      <c r="C52" s="16" t="s">
        <v>692</v>
      </c>
      <c r="D52" s="16" t="s">
        <v>598</v>
      </c>
      <c r="E52" s="16" t="s">
        <v>649</v>
      </c>
    </row>
    <row r="53" customFormat="false" ht="21" hidden="false" customHeight="true" outlineLevel="0" collapsed="false">
      <c r="B53" s="16" t="s">
        <v>693</v>
      </c>
      <c r="C53" s="16" t="s">
        <v>694</v>
      </c>
      <c r="D53" s="16" t="s">
        <v>598</v>
      </c>
      <c r="E53" s="16" t="s">
        <v>649</v>
      </c>
    </row>
    <row r="54" customFormat="false" ht="21" hidden="false" customHeight="true" outlineLevel="0" collapsed="false">
      <c r="B54" s="16" t="s">
        <v>695</v>
      </c>
      <c r="C54" s="16" t="s">
        <v>696</v>
      </c>
      <c r="D54" s="16" t="s">
        <v>605</v>
      </c>
      <c r="E54" s="16" t="s">
        <v>649</v>
      </c>
    </row>
    <row r="55" customFormat="false" ht="21" hidden="false" customHeight="true" outlineLevel="0" collapsed="false">
      <c r="B55" s="16" t="s">
        <v>697</v>
      </c>
      <c r="C55" s="16" t="s">
        <v>698</v>
      </c>
      <c r="D55" s="16" t="s">
        <v>605</v>
      </c>
      <c r="E55" s="16" t="s">
        <v>649</v>
      </c>
    </row>
    <row r="56" customFormat="false" ht="21" hidden="false" customHeight="true" outlineLevel="0" collapsed="false">
      <c r="B56" s="16" t="s">
        <v>699</v>
      </c>
      <c r="C56" s="16" t="s">
        <v>700</v>
      </c>
      <c r="D56" s="16" t="s">
        <v>605</v>
      </c>
      <c r="E56" s="16" t="s">
        <v>649</v>
      </c>
    </row>
    <row r="57" customFormat="false" ht="21" hidden="false" customHeight="true" outlineLevel="0" collapsed="false">
      <c r="B57" s="16" t="s">
        <v>701</v>
      </c>
      <c r="C57" s="16" t="s">
        <v>702</v>
      </c>
      <c r="D57" s="16" t="s">
        <v>598</v>
      </c>
      <c r="E57" s="16" t="s">
        <v>649</v>
      </c>
    </row>
    <row r="58" customFormat="false" ht="33.75" hidden="false" customHeight="true" outlineLevel="0" collapsed="false">
      <c r="B58" s="16" t="s">
        <v>703</v>
      </c>
      <c r="C58" s="16" t="s">
        <v>704</v>
      </c>
      <c r="D58" s="16" t="s">
        <v>605</v>
      </c>
      <c r="E58" s="16" t="s">
        <v>649</v>
      </c>
    </row>
    <row r="59" customFormat="false" ht="33.75" hidden="false" customHeight="true" outlineLevel="0" collapsed="false">
      <c r="B59" s="16" t="s">
        <v>705</v>
      </c>
      <c r="C59" s="16" t="s">
        <v>706</v>
      </c>
      <c r="D59" s="16" t="s">
        <v>598</v>
      </c>
      <c r="E59" s="16" t="s">
        <v>649</v>
      </c>
    </row>
    <row r="60" customFormat="false" ht="21" hidden="false" customHeight="true" outlineLevel="0" collapsed="false">
      <c r="B60" s="16" t="s">
        <v>707</v>
      </c>
      <c r="C60" s="16" t="s">
        <v>708</v>
      </c>
      <c r="D60" s="16" t="s">
        <v>605</v>
      </c>
      <c r="E60" s="16" t="s">
        <v>658</v>
      </c>
    </row>
    <row r="61" customFormat="false" ht="21" hidden="false" customHeight="true" outlineLevel="0" collapsed="false">
      <c r="B61" s="16" t="s">
        <v>709</v>
      </c>
      <c r="C61" s="16" t="s">
        <v>710</v>
      </c>
      <c r="D61" s="16" t="s">
        <v>598</v>
      </c>
      <c r="E61" s="16" t="s">
        <v>649</v>
      </c>
    </row>
    <row r="62" customFormat="false" ht="21" hidden="false" customHeight="true" outlineLevel="0" collapsed="false">
      <c r="B62" s="16" t="s">
        <v>711</v>
      </c>
      <c r="C62" s="16" t="s">
        <v>712</v>
      </c>
      <c r="D62" s="16" t="s">
        <v>605</v>
      </c>
      <c r="E62" s="16" t="s">
        <v>658</v>
      </c>
    </row>
    <row r="63" customFormat="false" ht="21" hidden="false" customHeight="true" outlineLevel="0" collapsed="false">
      <c r="B63" s="16" t="s">
        <v>713</v>
      </c>
      <c r="C63" s="16" t="s">
        <v>714</v>
      </c>
      <c r="D63" s="16" t="s">
        <v>612</v>
      </c>
      <c r="E63" s="16" t="s">
        <v>658</v>
      </c>
    </row>
  </sheetData>
  <autoFilter ref="B5:E63"/>
  <mergeCells count="4">
    <mergeCell ref="B2:E2"/>
    <mergeCell ref="B3:E3"/>
    <mergeCell ref="B6:E6"/>
    <mergeCell ref="B39:E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2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8"/>
    <col collapsed="false" customWidth="true" hidden="false" outlineLevel="0" max="4" min="4" style="0" width="42"/>
    <col collapsed="false" customWidth="true" hidden="false" outlineLevel="0" max="6" min="5" style="0" width="10"/>
    <col collapsed="false" customWidth="true" hidden="false" outlineLevel="0" max="7" min="7" style="0" width="12"/>
    <col collapsed="false" customWidth="true" hidden="false" outlineLevel="0" max="8" min="8" style="0" width="50"/>
    <col collapsed="false" customWidth="true" hidden="false" outlineLevel="0" max="9" min="9" style="0" width="40"/>
  </cols>
  <sheetData>
    <row r="2" customFormat="false" ht="21.75" hidden="false" customHeight="true" outlineLevel="0" collapsed="false">
      <c r="B2" s="12" t="s">
        <v>715</v>
      </c>
      <c r="C2" s="12"/>
      <c r="D2" s="12"/>
      <c r="E2" s="12"/>
      <c r="F2" s="12"/>
      <c r="G2" s="12"/>
      <c r="H2" s="12"/>
    </row>
    <row r="3" customFormat="false" ht="22.35" hidden="false" customHeight="true" outlineLevel="0" collapsed="false">
      <c r="B3" s="13" t="s">
        <v>716</v>
      </c>
      <c r="C3" s="13"/>
      <c r="D3" s="13"/>
      <c r="E3" s="13"/>
      <c r="F3" s="13"/>
      <c r="G3" s="13"/>
      <c r="H3" s="13"/>
    </row>
    <row r="5" customFormat="false" ht="19.5" hidden="false" customHeight="true" outlineLevel="0" collapsed="false">
      <c r="B5" s="15" t="s">
        <v>79</v>
      </c>
      <c r="C5" s="15" t="s">
        <v>717</v>
      </c>
      <c r="D5" s="15" t="s">
        <v>718</v>
      </c>
      <c r="E5" s="15" t="s">
        <v>719</v>
      </c>
      <c r="F5" s="15" t="s">
        <v>720</v>
      </c>
      <c r="G5" s="15" t="s">
        <v>721</v>
      </c>
      <c r="H5" s="15" t="s">
        <v>722</v>
      </c>
      <c r="I5" s="15" t="s">
        <v>723</v>
      </c>
    </row>
    <row r="6" customFormat="false" ht="46.5" hidden="false" customHeight="true" outlineLevel="0" collapsed="false">
      <c r="B6" s="54" t="s">
        <v>724</v>
      </c>
      <c r="C6" s="55" t="s">
        <v>725</v>
      </c>
      <c r="D6" s="56" t="s">
        <v>726</v>
      </c>
      <c r="E6" s="55"/>
      <c r="F6" s="55"/>
      <c r="G6" s="55"/>
      <c r="H6" s="56"/>
      <c r="I6" s="56"/>
    </row>
    <row r="7" customFormat="false" ht="33.75" hidden="false" customHeight="true" outlineLevel="0" collapsed="false">
      <c r="B7" s="16" t="s">
        <v>727</v>
      </c>
      <c r="C7" s="22" t="s">
        <v>728</v>
      </c>
      <c r="D7" s="16" t="s">
        <v>729</v>
      </c>
      <c r="E7" s="22" t="s">
        <v>730</v>
      </c>
      <c r="F7" s="22" t="s">
        <v>81</v>
      </c>
      <c r="G7" s="22" t="s">
        <v>730</v>
      </c>
      <c r="H7" s="16" t="s">
        <v>731</v>
      </c>
      <c r="I7" s="16"/>
    </row>
    <row r="8" customFormat="false" ht="33.75" hidden="false" customHeight="true" outlineLevel="0" collapsed="false">
      <c r="B8" s="16" t="s">
        <v>727</v>
      </c>
      <c r="C8" s="22" t="s">
        <v>732</v>
      </c>
      <c r="D8" s="16" t="s">
        <v>733</v>
      </c>
      <c r="E8" s="22" t="s">
        <v>734</v>
      </c>
      <c r="F8" s="22" t="s">
        <v>81</v>
      </c>
      <c r="G8" s="22" t="s">
        <v>734</v>
      </c>
      <c r="H8" s="16" t="s">
        <v>735</v>
      </c>
      <c r="I8" s="16"/>
    </row>
    <row r="9" customFormat="false" ht="46.5" hidden="false" customHeight="true" outlineLevel="0" collapsed="false">
      <c r="B9" s="54" t="s">
        <v>736</v>
      </c>
      <c r="C9" s="55" t="s">
        <v>737</v>
      </c>
      <c r="D9" s="56" t="s">
        <v>738</v>
      </c>
      <c r="E9" s="55"/>
      <c r="F9" s="55"/>
      <c r="G9" s="55"/>
      <c r="H9" s="56"/>
      <c r="I9" s="56"/>
    </row>
    <row r="10" customFormat="false" ht="33.75" hidden="false" customHeight="true" outlineLevel="0" collapsed="false">
      <c r="B10" s="16" t="s">
        <v>739</v>
      </c>
      <c r="C10" s="22" t="s">
        <v>740</v>
      </c>
      <c r="D10" s="16" t="s">
        <v>741</v>
      </c>
      <c r="E10" s="22" t="n">
        <v>1224</v>
      </c>
      <c r="F10" s="22" t="s">
        <v>81</v>
      </c>
      <c r="G10" s="22" t="n">
        <v>1224</v>
      </c>
      <c r="H10" s="16"/>
      <c r="I10" s="16" t="s">
        <v>742</v>
      </c>
    </row>
    <row r="11" customFormat="false" ht="33.75" hidden="false" customHeight="true" outlineLevel="0" collapsed="false">
      <c r="B11" s="16" t="s">
        <v>739</v>
      </c>
      <c r="C11" s="22" t="s">
        <v>743</v>
      </c>
      <c r="D11" s="16" t="s">
        <v>744</v>
      </c>
      <c r="E11" s="22" t="n">
        <v>51</v>
      </c>
      <c r="F11" s="22" t="s">
        <v>81</v>
      </c>
      <c r="G11" s="22" t="n">
        <v>51</v>
      </c>
      <c r="H11" s="16"/>
      <c r="I11" s="16" t="s">
        <v>745</v>
      </c>
    </row>
    <row r="12" customFormat="false" ht="21" hidden="false" customHeight="true" outlineLevel="0" collapsed="false">
      <c r="B12" s="16" t="s">
        <v>739</v>
      </c>
      <c r="C12" s="22" t="s">
        <v>746</v>
      </c>
      <c r="D12" s="16" t="s">
        <v>747</v>
      </c>
      <c r="E12" s="22" t="n">
        <v>68</v>
      </c>
      <c r="F12" s="22" t="s">
        <v>81</v>
      </c>
      <c r="G12" s="22" t="n">
        <v>68</v>
      </c>
      <c r="H12" s="16"/>
      <c r="I12" s="16" t="s">
        <v>748</v>
      </c>
    </row>
    <row r="13" customFormat="false" ht="21" hidden="false" customHeight="true" outlineLevel="0" collapsed="false">
      <c r="B13" s="16" t="s">
        <v>739</v>
      </c>
      <c r="C13" s="22" t="s">
        <v>749</v>
      </c>
      <c r="D13" s="16" t="s">
        <v>750</v>
      </c>
      <c r="E13" s="22" t="n">
        <v>1224</v>
      </c>
      <c r="F13" s="22" t="s">
        <v>81</v>
      </c>
      <c r="G13" s="22" t="n">
        <v>1224</v>
      </c>
      <c r="H13" s="16"/>
      <c r="I13" s="16" t="s">
        <v>751</v>
      </c>
    </row>
    <row r="14" customFormat="false" ht="33.75" hidden="false" customHeight="true" outlineLevel="0" collapsed="false">
      <c r="B14" s="16" t="s">
        <v>739</v>
      </c>
      <c r="C14" s="22" t="s">
        <v>752</v>
      </c>
      <c r="D14" s="16" t="s">
        <v>753</v>
      </c>
      <c r="E14" s="22" t="n">
        <v>68</v>
      </c>
      <c r="F14" s="22" t="s">
        <v>81</v>
      </c>
      <c r="G14" s="22" t="n">
        <v>68</v>
      </c>
      <c r="H14" s="16"/>
      <c r="I14" s="16" t="s">
        <v>754</v>
      </c>
    </row>
    <row r="15" customFormat="false" ht="33.75" hidden="false" customHeight="true" outlineLevel="0" collapsed="false">
      <c r="B15" s="16" t="s">
        <v>739</v>
      </c>
      <c r="C15" s="22" t="s">
        <v>755</v>
      </c>
      <c r="D15" s="16" t="s">
        <v>756</v>
      </c>
      <c r="E15" s="22" t="n">
        <v>2516</v>
      </c>
      <c r="F15" s="22" t="s">
        <v>81</v>
      </c>
      <c r="G15" s="22" t="n">
        <v>2516</v>
      </c>
      <c r="H15" s="16"/>
      <c r="I15" s="16" t="s">
        <v>757</v>
      </c>
    </row>
    <row r="16" customFormat="false" ht="33.75" hidden="false" customHeight="true" outlineLevel="0" collapsed="false">
      <c r="B16" s="16" t="s">
        <v>739</v>
      </c>
      <c r="C16" s="22" t="s">
        <v>758</v>
      </c>
      <c r="D16" s="16" t="s">
        <v>759</v>
      </c>
      <c r="E16" s="22" t="n">
        <v>68</v>
      </c>
      <c r="F16" s="22" t="s">
        <v>81</v>
      </c>
      <c r="G16" s="22" t="n">
        <v>68</v>
      </c>
      <c r="H16" s="16"/>
      <c r="I16" s="16" t="s">
        <v>760</v>
      </c>
    </row>
    <row r="17" customFormat="false" ht="21" hidden="false" customHeight="true" outlineLevel="0" collapsed="false">
      <c r="B17" s="16" t="s">
        <v>739</v>
      </c>
      <c r="C17" s="22" t="s">
        <v>761</v>
      </c>
      <c r="D17" s="16" t="s">
        <v>762</v>
      </c>
      <c r="E17" s="22" t="n">
        <v>122</v>
      </c>
      <c r="F17" s="22" t="s">
        <v>81</v>
      </c>
      <c r="G17" s="22" t="n">
        <v>122</v>
      </c>
      <c r="H17" s="16"/>
      <c r="I17" s="16" t="s">
        <v>763</v>
      </c>
    </row>
    <row r="18" customFormat="false" ht="33.75" hidden="false" customHeight="true" outlineLevel="0" collapsed="false">
      <c r="B18" s="16" t="s">
        <v>739</v>
      </c>
      <c r="C18" s="22" t="s">
        <v>764</v>
      </c>
      <c r="D18" s="16" t="s">
        <v>765</v>
      </c>
      <c r="E18" s="22" t="s">
        <v>766</v>
      </c>
      <c r="F18" s="22" t="s">
        <v>81</v>
      </c>
      <c r="G18" s="22" t="s">
        <v>766</v>
      </c>
      <c r="H18" s="16"/>
      <c r="I18" s="16" t="s">
        <v>767</v>
      </c>
    </row>
    <row r="19" customFormat="false" ht="46.5" hidden="false" customHeight="true" outlineLevel="0" collapsed="false">
      <c r="B19" s="54" t="s">
        <v>736</v>
      </c>
      <c r="C19" s="55" t="s">
        <v>768</v>
      </c>
      <c r="D19" s="56" t="s">
        <v>769</v>
      </c>
      <c r="E19" s="55"/>
      <c r="F19" s="55"/>
      <c r="G19" s="55"/>
      <c r="H19" s="56"/>
      <c r="I19" s="56"/>
    </row>
    <row r="20" customFormat="false" ht="33.75" hidden="false" customHeight="true" outlineLevel="0" collapsed="false">
      <c r="B20" s="16" t="s">
        <v>739</v>
      </c>
      <c r="C20" s="22" t="s">
        <v>770</v>
      </c>
      <c r="D20" s="16" t="s">
        <v>771</v>
      </c>
      <c r="E20" s="22" t="s">
        <v>772</v>
      </c>
      <c r="F20" s="22" t="s">
        <v>81</v>
      </c>
      <c r="G20" s="22" t="s">
        <v>772</v>
      </c>
      <c r="H20" s="16"/>
      <c r="I20" s="16" t="s">
        <v>773</v>
      </c>
    </row>
    <row r="21" customFormat="false" ht="21" hidden="false" customHeight="true" outlineLevel="0" collapsed="false">
      <c r="B21" s="16" t="s">
        <v>739</v>
      </c>
      <c r="C21" s="22" t="s">
        <v>774</v>
      </c>
      <c r="D21" s="16" t="s">
        <v>775</v>
      </c>
      <c r="E21" s="22" t="s">
        <v>776</v>
      </c>
      <c r="F21" s="22" t="s">
        <v>81</v>
      </c>
      <c r="G21" s="22" t="s">
        <v>776</v>
      </c>
      <c r="H21" s="16"/>
      <c r="I21" s="16" t="s">
        <v>777</v>
      </c>
    </row>
    <row r="22" customFormat="false" ht="33.75" hidden="false" customHeight="true" outlineLevel="0" collapsed="false">
      <c r="B22" s="16" t="s">
        <v>739</v>
      </c>
      <c r="C22" s="22" t="s">
        <v>778</v>
      </c>
      <c r="D22" s="16" t="s">
        <v>779</v>
      </c>
      <c r="E22" s="22" t="s">
        <v>776</v>
      </c>
      <c r="F22" s="22" t="s">
        <v>81</v>
      </c>
      <c r="G22" s="22" t="s">
        <v>776</v>
      </c>
      <c r="H22" s="16"/>
      <c r="I22" s="16" t="s">
        <v>780</v>
      </c>
    </row>
    <row r="23" customFormat="false" ht="33.75" hidden="false" customHeight="true" outlineLevel="0" collapsed="false">
      <c r="B23" s="16" t="s">
        <v>739</v>
      </c>
      <c r="C23" s="22" t="s">
        <v>781</v>
      </c>
      <c r="D23" s="16" t="s">
        <v>782</v>
      </c>
      <c r="E23" s="22" t="s">
        <v>776</v>
      </c>
      <c r="F23" s="22" t="s">
        <v>81</v>
      </c>
      <c r="G23" s="22" t="s">
        <v>776</v>
      </c>
      <c r="H23" s="16"/>
      <c r="I23" s="16" t="s">
        <v>783</v>
      </c>
    </row>
    <row r="24" customFormat="false" ht="21" hidden="false" customHeight="true" outlineLevel="0" collapsed="false">
      <c r="B24" s="16" t="s">
        <v>739</v>
      </c>
      <c r="C24" s="22" t="s">
        <v>784</v>
      </c>
      <c r="D24" s="16" t="s">
        <v>785</v>
      </c>
      <c r="E24" s="22" t="s">
        <v>786</v>
      </c>
      <c r="F24" s="22" t="s">
        <v>81</v>
      </c>
      <c r="G24" s="22" t="s">
        <v>786</v>
      </c>
      <c r="H24" s="16"/>
      <c r="I24" s="16" t="s">
        <v>787</v>
      </c>
    </row>
    <row r="25" customFormat="false" ht="33.75" hidden="false" customHeight="true" outlineLevel="0" collapsed="false">
      <c r="B25" s="57" t="s">
        <v>788</v>
      </c>
      <c r="C25" s="49" t="s">
        <v>789</v>
      </c>
      <c r="D25" s="50" t="s">
        <v>790</v>
      </c>
      <c r="E25" s="49" t="n">
        <v>12</v>
      </c>
      <c r="F25" s="49" t="s">
        <v>791</v>
      </c>
      <c r="G25" s="49" t="n">
        <v>12</v>
      </c>
      <c r="H25" s="50" t="s">
        <v>792</v>
      </c>
      <c r="I25" s="50"/>
    </row>
  </sheetData>
  <autoFilter ref="B5:I25"/>
  <mergeCells count="2">
    <mergeCell ref="B2:H2"/>
    <mergeCell ref="B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K3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4" ySplit="14" topLeftCell="O15" activePane="bottomRight" state="frozen"/>
      <selection pane="topLeft" activeCell="A1" activeCellId="0" sqref="A1"/>
      <selection pane="topRight" activeCell="O1" activeCellId="0" sqref="O1"/>
      <selection pane="bottomLeft" activeCell="A15" activeCellId="0" sqref="A1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8"/>
    <col collapsed="false" customWidth="true" hidden="false" outlineLevel="0" max="3" min="3" style="0" width="9"/>
    <col collapsed="false" customWidth="true" hidden="false" outlineLevel="0" max="4" min="4" style="0" width="16"/>
    <col collapsed="false" customWidth="true" hidden="false" outlineLevel="0" max="5" min="5" style="0" width="20"/>
    <col collapsed="false" customWidth="true" hidden="false" outlineLevel="0" max="6" min="6" style="0" width="32"/>
    <col collapsed="false" customWidth="true" hidden="false" outlineLevel="0" max="7" min="7" style="0" width="22"/>
    <col collapsed="false" customWidth="true" hidden="false" outlineLevel="0" max="8" min="8" style="0" width="40"/>
    <col collapsed="false" customWidth="true" hidden="false" outlineLevel="0" max="9" min="9" style="0" width="38"/>
    <col collapsed="false" customWidth="true" hidden="false" outlineLevel="0" max="10" min="10" style="0" width="26"/>
    <col collapsed="false" customWidth="true" hidden="false" outlineLevel="0" max="11" min="11" style="0" width="9"/>
    <col collapsed="false" customWidth="true" hidden="false" outlineLevel="0" max="12" min="12" style="0" width="22"/>
    <col collapsed="false" customWidth="true" hidden="false" outlineLevel="0" max="13" min="13" style="0" width="11"/>
    <col collapsed="false" customWidth="true" hidden="false" outlineLevel="0" max="14" min="14" style="0" width="9"/>
    <col collapsed="false" customWidth="true" hidden="false" outlineLevel="0" max="22" min="15" style="0" width="8"/>
    <col collapsed="false" customWidth="true" hidden="false" outlineLevel="0" max="23" min="23" style="0" width="9"/>
    <col collapsed="false" customWidth="true" hidden="false" outlineLevel="0" max="24" min="24" style="0" width="13"/>
    <col collapsed="false" customWidth="true" hidden="false" outlineLevel="0" max="25" min="25" style="0" width="26"/>
    <col collapsed="false" customWidth="true" hidden="false" outlineLevel="0" max="26" min="26" style="0" width="44"/>
    <col collapsed="false" customWidth="true" hidden="false" outlineLevel="0" max="27" min="27" style="0" width="30"/>
    <col collapsed="false" customWidth="true" hidden="false" outlineLevel="0" max="28" min="28" style="0" width="14"/>
    <col collapsed="false" customWidth="true" hidden="false" outlineLevel="0" max="29" min="29" style="0" width="16"/>
    <col collapsed="false" customWidth="true" hidden="false" outlineLevel="0" max="30" min="30" style="0" width="20"/>
    <col collapsed="false" customWidth="true" hidden="false" outlineLevel="0" max="31" min="31" style="0" width="30"/>
    <col collapsed="false" customWidth="true" hidden="false" outlineLevel="0" max="32" min="32" style="0" width="46"/>
    <col collapsed="false" customWidth="true" hidden="false" outlineLevel="0" max="33" min="33" style="0" width="24"/>
    <col collapsed="false" customWidth="true" hidden="false" outlineLevel="0" max="37" min="34" style="0" width="11"/>
  </cols>
  <sheetData>
    <row r="2" customFormat="false" ht="21.75" hidden="false" customHeight="true" outlineLevel="0" collapsed="false">
      <c r="B2" s="12" t="s">
        <v>793</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customFormat="false" ht="19.5" hidden="false" customHeight="true" outlineLevel="0" collapsed="false">
      <c r="B3" s="58" t="s">
        <v>794</v>
      </c>
      <c r="C3" s="59" t="n">
        <v>1</v>
      </c>
      <c r="D3" s="60" t="s">
        <v>795</v>
      </c>
    </row>
    <row r="5" customFormat="false" ht="22.35" hidden="false" customHeight="true" outlineLevel="0" collapsed="false">
      <c r="B5" s="13" t="s">
        <v>796</v>
      </c>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row>
    <row r="7" customFormat="false" ht="22.35" hidden="false" customHeight="true" outlineLevel="0" collapsed="false">
      <c r="B7" s="13" t="s">
        <v>797</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row>
    <row r="9" customFormat="false" ht="15" hidden="false" customHeight="false" outlineLevel="0" collapsed="false">
      <c r="B9" s="61" t="s">
        <v>798</v>
      </c>
      <c r="C9" s="61"/>
      <c r="D9" s="61"/>
      <c r="E9" s="61"/>
      <c r="F9" s="61"/>
      <c r="G9" s="61"/>
      <c r="H9" s="61"/>
      <c r="I9" s="61"/>
      <c r="J9" s="61"/>
      <c r="K9" s="61"/>
      <c r="L9" s="61"/>
      <c r="M9" s="61"/>
      <c r="O9" s="62" t="n">
        <v>0.05</v>
      </c>
      <c r="P9" s="62" t="n">
        <v>0.15</v>
      </c>
      <c r="Q9" s="62" t="n">
        <v>0.3</v>
      </c>
      <c r="R9" s="62" t="n">
        <v>0.45</v>
      </c>
      <c r="S9" s="62" t="n">
        <v>0.62</v>
      </c>
      <c r="T9" s="62" t="n">
        <v>0.78</v>
      </c>
      <c r="U9" s="62" t="n">
        <v>0.92</v>
      </c>
      <c r="V9" s="62" t="n">
        <v>1</v>
      </c>
    </row>
    <row r="10" customFormat="false" ht="15" hidden="false" customHeight="false" outlineLevel="0" collapsed="false">
      <c r="B10" s="61" t="s">
        <v>799</v>
      </c>
      <c r="C10" s="61"/>
      <c r="D10" s="61"/>
      <c r="E10" s="61"/>
      <c r="F10" s="61"/>
      <c r="G10" s="61"/>
      <c r="H10" s="61"/>
      <c r="I10" s="61"/>
      <c r="J10" s="61"/>
      <c r="K10" s="61"/>
      <c r="L10" s="61"/>
      <c r="M10" s="61"/>
      <c r="O10" s="63" t="n">
        <v>0.45</v>
      </c>
      <c r="P10" s="63" t="n">
        <v>0.85</v>
      </c>
      <c r="Q10" s="63" t="n">
        <v>0.97</v>
      </c>
      <c r="R10" s="63" t="n">
        <v>1</v>
      </c>
      <c r="S10" s="63" t="n">
        <v>1</v>
      </c>
      <c r="T10" s="63" t="n">
        <v>1</v>
      </c>
      <c r="U10" s="63" t="n">
        <v>1</v>
      </c>
      <c r="V10" s="63" t="n">
        <v>1</v>
      </c>
    </row>
    <row r="11" customFormat="false" ht="22.35" hidden="false" customHeight="true" outlineLevel="0" collapsed="false">
      <c r="B11" s="13" t="s">
        <v>800</v>
      </c>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3" customFormat="false" ht="19.5" hidden="false" customHeight="true" outlineLevel="0" collapsed="false">
      <c r="B13" s="18" t="s">
        <v>363</v>
      </c>
      <c r="C13" s="18" t="s">
        <v>801</v>
      </c>
      <c r="D13" s="18" t="s">
        <v>802</v>
      </c>
      <c r="E13" s="18" t="s">
        <v>803</v>
      </c>
      <c r="F13" s="18" t="s">
        <v>402</v>
      </c>
      <c r="G13" s="18" t="s">
        <v>804</v>
      </c>
      <c r="H13" s="18" t="s">
        <v>722</v>
      </c>
      <c r="I13" s="18" t="s">
        <v>805</v>
      </c>
      <c r="J13" s="18" t="s">
        <v>806</v>
      </c>
      <c r="K13" s="18" t="s">
        <v>807</v>
      </c>
      <c r="L13" s="18" t="s">
        <v>808</v>
      </c>
      <c r="M13" s="18" t="s">
        <v>809</v>
      </c>
      <c r="N13" s="18" t="s">
        <v>403</v>
      </c>
      <c r="O13" s="48" t="s">
        <v>810</v>
      </c>
      <c r="P13" s="48"/>
      <c r="Q13" s="48"/>
      <c r="R13" s="48"/>
      <c r="S13" s="48"/>
      <c r="T13" s="48"/>
      <c r="U13" s="48"/>
      <c r="V13" s="48"/>
      <c r="W13" s="18" t="s">
        <v>811</v>
      </c>
      <c r="X13" s="18" t="s">
        <v>413</v>
      </c>
      <c r="Y13" s="18" t="s">
        <v>812</v>
      </c>
      <c r="Z13" s="18" t="s">
        <v>813</v>
      </c>
      <c r="AA13" s="18" t="s">
        <v>814</v>
      </c>
      <c r="AB13" s="18" t="s">
        <v>95</v>
      </c>
      <c r="AC13" s="18" t="s">
        <v>151</v>
      </c>
      <c r="AD13" s="18" t="s">
        <v>815</v>
      </c>
      <c r="AE13" s="18" t="s">
        <v>816</v>
      </c>
      <c r="AF13" s="18" t="s">
        <v>817</v>
      </c>
      <c r="AG13" s="18" t="s">
        <v>818</v>
      </c>
      <c r="AH13" s="31" t="s">
        <v>819</v>
      </c>
      <c r="AI13" s="31"/>
      <c r="AJ13" s="31"/>
      <c r="AK13" s="31"/>
    </row>
    <row r="14" customFormat="false" ht="19.5" hidden="false" customHeight="true" outlineLevel="0" collapsed="false">
      <c r="B14" s="18"/>
      <c r="C14" s="18"/>
      <c r="D14" s="18"/>
      <c r="E14" s="18"/>
      <c r="F14" s="18"/>
      <c r="G14" s="18"/>
      <c r="H14" s="18"/>
      <c r="I14" s="18"/>
      <c r="J14" s="18"/>
      <c r="K14" s="18"/>
      <c r="L14" s="18"/>
      <c r="M14" s="18"/>
      <c r="N14" s="18"/>
      <c r="O14" s="64" t="s">
        <v>233</v>
      </c>
      <c r="P14" s="64" t="s">
        <v>234</v>
      </c>
      <c r="Q14" s="64" t="s">
        <v>235</v>
      </c>
      <c r="R14" s="64" t="s">
        <v>236</v>
      </c>
      <c r="S14" s="64" t="s">
        <v>237</v>
      </c>
      <c r="T14" s="64" t="s">
        <v>238</v>
      </c>
      <c r="U14" s="64" t="s">
        <v>239</v>
      </c>
      <c r="V14" s="64" t="s">
        <v>240</v>
      </c>
      <c r="W14" s="18"/>
      <c r="X14" s="18"/>
      <c r="Y14" s="18"/>
      <c r="Z14" s="18"/>
      <c r="AA14" s="18"/>
      <c r="AB14" s="18"/>
      <c r="AC14" s="18"/>
      <c r="AD14" s="18"/>
      <c r="AE14" s="18"/>
      <c r="AF14" s="18"/>
      <c r="AG14" s="18"/>
      <c r="AH14" s="65" t="s">
        <v>820</v>
      </c>
      <c r="AI14" s="65" t="s">
        <v>821</v>
      </c>
      <c r="AJ14" s="65" t="s">
        <v>822</v>
      </c>
      <c r="AK14" s="65" t="s">
        <v>823</v>
      </c>
    </row>
    <row r="15" customFormat="false" ht="19.5" hidden="false" customHeight="true" outlineLevel="0" collapsed="false">
      <c r="B15" s="66" t="s">
        <v>824</v>
      </c>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row>
    <row r="16" customFormat="false" ht="229.5" hidden="false" customHeight="true" outlineLevel="0" collapsed="false">
      <c r="B16" s="22" t="s">
        <v>825</v>
      </c>
      <c r="C16" s="22" t="s">
        <v>826</v>
      </c>
      <c r="D16" s="22" t="s">
        <v>596</v>
      </c>
      <c r="E16" s="16" t="s">
        <v>827</v>
      </c>
      <c r="F16" s="16" t="s">
        <v>741</v>
      </c>
      <c r="G16" s="16" t="s">
        <v>828</v>
      </c>
      <c r="H16" s="16" t="s">
        <v>829</v>
      </c>
      <c r="I16" s="16" t="s">
        <v>830</v>
      </c>
      <c r="J16" s="16" t="s">
        <v>831</v>
      </c>
      <c r="K16" s="22" t="n">
        <v>0</v>
      </c>
      <c r="L16" s="16" t="s">
        <v>543</v>
      </c>
      <c r="M16" s="22" t="n">
        <v>1224</v>
      </c>
      <c r="N16" s="22" t="s">
        <v>832</v>
      </c>
      <c r="O16" s="67" t="n">
        <f aca="false">IF(1&gt;'7. IPTT'!$C$3,"",IFERROR((SUMPRODUCT(ISNUMBER(SEARCH($C16,'8. Activity Tracker'!$J$7:$J$93))*N('8. Activity Tracker'!V$7:V$93))),0))</f>
        <v>0</v>
      </c>
      <c r="P16" s="67" t="str">
        <f aca="false">IF(2&gt;'7. IPTT'!$C$3,"",IFERROR((SUMPRODUCT(ISNUMBER(SEARCH($C16,'8. Activity Tracker'!$J$7:$J$93))*N('8. Activity Tracker'!V$7:V$93))+SUMPRODUCT(ISNUMBER(SEARCH($C16,'8. Activity Tracker'!$J$7:$J$93))*N('8. Activity Tracker'!W$7:W$93))),0))</f>
        <v/>
      </c>
      <c r="Q16" s="67" t="str">
        <f aca="false">IF(3&gt;'7. IPTT'!$C$3,"",IFERROR((SUMPRODUCT(ISNUMBER(SEARCH($C16,'8. Activity Tracker'!$J$7:$J$93))*N('8. Activity Tracker'!V$7:V$93))+SUMPRODUCT(ISNUMBER(SEARCH($C16,'8. Activity Tracker'!$J$7:$J$93))*N('8. Activity Tracker'!W$7:W$93))+SUMPRODUCT(ISNUMBER(SEARCH($C16,'8. Activity Tracker'!$J$7:$J$93))*N('8. Activity Tracker'!X$7:X$93))),0))</f>
        <v/>
      </c>
      <c r="R16" s="67" t="str">
        <f aca="false">IF(4&gt;'7. IPTT'!$C$3,"",IFERROR((SUMPRODUCT(ISNUMBER(SEARCH($C16,'8. Activity Tracker'!$J$7:$J$93))*N('8. Activity Tracker'!V$7:V$93))+SUMPRODUCT(ISNUMBER(SEARCH($C16,'8. Activity Tracker'!$J$7:$J$93))*N('8. Activity Tracker'!W$7:W$93))+SUMPRODUCT(ISNUMBER(SEARCH($C16,'8. Activity Tracker'!$J$7:$J$93))*N('8. Activity Tracker'!X$7:X$93))+SUMPRODUCT(ISNUMBER(SEARCH($C16,'8. Activity Tracker'!$J$7:$J$93))*N('8. Activity Tracker'!Y$7:Y$93))),0))</f>
        <v/>
      </c>
      <c r="S16" s="67" t="str">
        <f aca="false">IF(5&gt;'7. IPTT'!$C$3,"",IFERROR((SUMPRODUCT(ISNUMBER(SEARCH($C16,'8. Activity Tracker'!$J$7:$J$93))*N('8. Activity Tracker'!V$7:V$93))+SUMPRODUCT(ISNUMBER(SEARCH($C16,'8. Activity Tracker'!$J$7:$J$93))*N('8. Activity Tracker'!W$7:W$93))+SUMPRODUCT(ISNUMBER(SEARCH($C16,'8. Activity Tracker'!$J$7:$J$93))*N('8. Activity Tracker'!X$7:X$93))+SUMPRODUCT(ISNUMBER(SEARCH($C16,'8. Activity Tracker'!$J$7:$J$93))*N('8. Activity Tracker'!Y$7:Y$93))+SUMPRODUCT(ISNUMBER(SEARCH($C16,'8. Activity Tracker'!$J$7:$J$93))*N('8. Activity Tracker'!Z$7:Z$93))),0))</f>
        <v/>
      </c>
      <c r="T16" s="67" t="str">
        <f aca="false">IF(6&gt;'7. IPTT'!$C$3,"",IFERROR((SUMPRODUCT(ISNUMBER(SEARCH($C16,'8. Activity Tracker'!$J$7:$J$93))*N('8. Activity Tracker'!V$7:V$93))+SUMPRODUCT(ISNUMBER(SEARCH($C16,'8. Activity Tracker'!$J$7:$J$93))*N('8. Activity Tracker'!W$7:W$93))+SUMPRODUCT(ISNUMBER(SEARCH($C16,'8. Activity Tracker'!$J$7:$J$93))*N('8. Activity Tracker'!X$7:X$93))+SUMPRODUCT(ISNUMBER(SEARCH($C16,'8. Activity Tracker'!$J$7:$J$93))*N('8. Activity Tracker'!Y$7:Y$93))+SUMPRODUCT(ISNUMBER(SEARCH($C16,'8. Activity Tracker'!$J$7:$J$93))*N('8. Activity Tracker'!Z$7:Z$93))+SUMPRODUCT(ISNUMBER(SEARCH($C16,'8. Activity Tracker'!$J$7:$J$93))*N('8. Activity Tracker'!AA$7:AA$93))),0))</f>
        <v/>
      </c>
      <c r="U16" s="67" t="str">
        <f aca="false">IF(7&gt;'7. IPTT'!$C$3,"",IFERROR((SUMPRODUCT(ISNUMBER(SEARCH($C16,'8. Activity Tracker'!$J$7:$J$93))*N('8. Activity Tracker'!V$7:V$93))+SUMPRODUCT(ISNUMBER(SEARCH($C16,'8. Activity Tracker'!$J$7:$J$93))*N('8. Activity Tracker'!W$7:W$93))+SUMPRODUCT(ISNUMBER(SEARCH($C16,'8. Activity Tracker'!$J$7:$J$93))*N('8. Activity Tracker'!X$7:X$93))+SUMPRODUCT(ISNUMBER(SEARCH($C16,'8. Activity Tracker'!$J$7:$J$93))*N('8. Activity Tracker'!Y$7:Y$93))+SUMPRODUCT(ISNUMBER(SEARCH($C16,'8. Activity Tracker'!$J$7:$J$93))*N('8. Activity Tracker'!Z$7:Z$93))+SUMPRODUCT(ISNUMBER(SEARCH($C16,'8. Activity Tracker'!$J$7:$J$93))*N('8. Activity Tracker'!AA$7:AA$93))+SUMPRODUCT(ISNUMBER(SEARCH($C16,'8. Activity Tracker'!$J$7:$J$93))*N('8. Activity Tracker'!AB$7:AB$93))),0))</f>
        <v/>
      </c>
      <c r="V16" s="67" t="str">
        <f aca="false">IF(8&gt;'7. IPTT'!$C$3,"",IFERROR((SUMPRODUCT(ISNUMBER(SEARCH($C16,'8. Activity Tracker'!$J$7:$J$93))*N('8. Activity Tracker'!V$7:V$93))+SUMPRODUCT(ISNUMBER(SEARCH($C16,'8. Activity Tracker'!$J$7:$J$93))*N('8. Activity Tracker'!W$7:W$93))+SUMPRODUCT(ISNUMBER(SEARCH($C16,'8. Activity Tracker'!$J$7:$J$93))*N('8. Activity Tracker'!X$7:X$93))+SUMPRODUCT(ISNUMBER(SEARCH($C16,'8. Activity Tracker'!$J$7:$J$93))*N('8. Activity Tracker'!Y$7:Y$93))+SUMPRODUCT(ISNUMBER(SEARCH($C16,'8. Activity Tracker'!$J$7:$J$93))*N('8. Activity Tracker'!Z$7:Z$93))+SUMPRODUCT(ISNUMBER(SEARCH($C16,'8. Activity Tracker'!$J$7:$J$93))*N('8. Activity Tracker'!AA$7:AA$93))+SUMPRODUCT(ISNUMBER(SEARCH($C16,'8. Activity Tracker'!$J$7:$J$93))*N('8. Activity Tracker'!AB$7:AB$93))+SUMPRODUCT(ISNUMBER(SEARCH($C16,'8. Activity Tracker'!$J$7:$J$93))*N('8. Activity Tracker'!AC$7:AC$93))),0))</f>
        <v/>
      </c>
      <c r="W16" s="68" t="n">
        <f aca="false">IFERROR(LOOKUP(2,1/(O16:V16&lt;&gt;""),O16:V16)/$M16,"")</f>
        <v>0</v>
      </c>
      <c r="X16" s="22" t="str">
        <f aca="false">IFERROR(IF(COUNT(O16:V16)=0,"No data yet",IF(LOOKUP(2,1/(O16:V16&lt;&gt;""),O16:V16)&gt;=INDEX(O10:V10,$C$3)*$M16,"On Track",IF(LOOKUP(2,1/(O16:V16&lt;&gt;""),O16:V16)&gt;=INDEX(O10:V10,$C$3)*$M16*0.85,"Slightly Behind","Behind"))),"")</f>
        <v>Behind</v>
      </c>
      <c r="Y16" s="16" t="s">
        <v>833</v>
      </c>
      <c r="Z16" s="16" t="s">
        <v>834</v>
      </c>
      <c r="AA16" s="16" t="s">
        <v>835</v>
      </c>
      <c r="AB16" s="22" t="s">
        <v>836</v>
      </c>
      <c r="AC16" s="16" t="s">
        <v>181</v>
      </c>
      <c r="AD16" s="16" t="s">
        <v>837</v>
      </c>
      <c r="AE16" s="16" t="s">
        <v>838</v>
      </c>
      <c r="AF16" s="16" t="str">
        <f aca="false">IFERROR("During the reporting period (cumulative through Q"&amp;'7. IPTT'!$C$3&amp;"), FIVDB reported "&amp;TEXT(LOOKUP(2,1/(O16:V16&lt;&gt;""),O16:V16),"#,##0")&amp;" against the indicator '"&amp;$F16&amp;"' - "&amp;TEXT($W16,"0%")&amp;" of the "&amp;TEXT($M16,"#,##0")&amp;" life-of-project target. "&amp;"Disaggregated: "&amp;TEXT($AH16,"#,##0")&amp;" girls (&lt;18), "&amp;TEXT($AI16,"#,##0")&amp;" boys (&lt;18), "&amp;TEXT($AJ16,"#,##0")&amp;" women (18+), "&amp;TEXT($AK16,"#,##0")&amp;" men (18+).","During the reporting period, FIVDB reported progress against this indicator - see Cumulative Actual to Date and % of LOP Target Achieved.")</f>
        <v>During the reporting period (cumulative through Q1), FIVDB reported 0 against the indicator 'Number of targeted girls and boys enrolled in non-formal education services' - 0% of the 1,224 life-of-project target. Disaggregated: 0 girls (&lt;18), 0 boys (&lt;18), 0 women (18+), 0 men (18+).</v>
      </c>
      <c r="AG16" s="16" t="s">
        <v>839</v>
      </c>
      <c r="AH16" s="69" t="n">
        <f aca="false">IFERROR(SUMPRODUCT(ISNUMBER(SEARCH($C16,'10. Activity Data Log'!$AC$7:$AC$46))*(IFERROR(VALUE(MID('10. Activity Data Log'!$AD$7:$AD$46,2,1)),99)&lt;='7. IPTT'!$C$3)*N('10. Activity Data Log'!$O$7:$O$46))+SUMPRODUCT(ISNUMBER(SEARCH($C16,'11. Distribution Log'!$AH$7:$AH$46))*(IFERROR(VALUE(MID('11. Distribution Log'!$AI$7:$AI$46,2,1)),99)&lt;='7. IPTT'!$C$3)*N('11. Distribution Log'!$Q$7:$Q$46))+SUMPRODUCT(ISNUMBER(SEARCH($C16,'10. Activity Data Log'!$AC$7:$AC$46))*(IFERROR(VALUE(MID('10. Activity Data Log'!$AD$7:$AD$46,2,1)),99)&lt;='7. IPTT'!$C$3)*N('10. Activity Data Log'!$S$7:$S$46))+SUMPRODUCT(ISNUMBER(SEARCH($C16,'11. Distribution Log'!$AH$7:$AH$46))*(IFERROR(VALUE(MID('11. Distribution Log'!$AI$7:$AI$46,2,1)),99)&lt;='7. IPTT'!$C$3)*N('11. Distribution Log'!$U$7:$U$46)),0)</f>
        <v>0</v>
      </c>
      <c r="AI16" s="69" t="n">
        <f aca="false">IFERROR(SUMPRODUCT(ISNUMBER(SEARCH($C16,'10. Activity Data Log'!$AC$7:$AC$46))*(IFERROR(VALUE(MID('10. Activity Data Log'!$AD$7:$AD$46,2,1)),99)&lt;='7. IPTT'!$C$3)*N('10. Activity Data Log'!$M$7:$M$46))+SUMPRODUCT(ISNUMBER(SEARCH($C16,'11. Distribution Log'!$AH$7:$AH$46))*(IFERROR(VALUE(MID('11. Distribution Log'!$AI$7:$AI$46,2,1)),99)&lt;='7. IPTT'!$C$3)*N('11. Distribution Log'!$O$7:$O$46))+SUMPRODUCT(ISNUMBER(SEARCH($C16,'10. Activity Data Log'!$AC$7:$AC$46))*(IFERROR(VALUE(MID('10. Activity Data Log'!$AD$7:$AD$46,2,1)),99)&lt;='7. IPTT'!$C$3)*N('10. Activity Data Log'!$Q$7:$Q$46))+SUMPRODUCT(ISNUMBER(SEARCH($C16,'11. Distribution Log'!$AH$7:$AH$46))*(IFERROR(VALUE(MID('11. Distribution Log'!$AI$7:$AI$46,2,1)),99)&lt;='7. IPTT'!$C$3)*N('11. Distribution Log'!$S$7:$S$46)),0)</f>
        <v>0</v>
      </c>
      <c r="AJ16" s="69" t="n">
        <f aca="false">IFERROR(SUMPRODUCT(ISNUMBER(SEARCH($C16,'10. Activity Data Log'!$AC$7:$AC$46))*(IFERROR(VALUE(MID('10. Activity Data Log'!$AD$7:$AD$46,2,1)),99)&lt;='7. IPTT'!$C$3)*N('10. Activity Data Log'!$P$7:$P$46))+SUMPRODUCT(ISNUMBER(SEARCH($C16,'11. Distribution Log'!$AH$7:$AH$46))*(IFERROR(VALUE(MID('11. Distribution Log'!$AI$7:$AI$46,2,1)),99)&lt;='7. IPTT'!$C$3)*N('11. Distribution Log'!$R$7:$R$46))+SUMPRODUCT(ISNUMBER(SEARCH($C16,'10. Activity Data Log'!$AC$7:$AC$46))*(IFERROR(VALUE(MID('10. Activity Data Log'!$AD$7:$AD$46,2,1)),99)&lt;='7. IPTT'!$C$3)*N('10. Activity Data Log'!$T$7:$T$46))+SUMPRODUCT(ISNUMBER(SEARCH($C16,'11. Distribution Log'!$AH$7:$AH$46))*(IFERROR(VALUE(MID('11. Distribution Log'!$AI$7:$AI$46,2,1)),99)&lt;='7. IPTT'!$C$3)*N('11. Distribution Log'!$V$7:$V$46)),0)</f>
        <v>0</v>
      </c>
      <c r="AK16" s="69" t="n">
        <f aca="false">IFERROR(SUMPRODUCT(ISNUMBER(SEARCH($C16,'10. Activity Data Log'!$AC$7:$AC$46))*(IFERROR(VALUE(MID('10. Activity Data Log'!$AD$7:$AD$46,2,1)),99)&lt;='7. IPTT'!$C$3)*N('10. Activity Data Log'!$N$7:$N$46))+SUMPRODUCT(ISNUMBER(SEARCH($C16,'11. Distribution Log'!$AH$7:$AH$46))*(IFERROR(VALUE(MID('11. Distribution Log'!$AI$7:$AI$46,2,1)),99)&lt;='7. IPTT'!$C$3)*N('11. Distribution Log'!$P$7:$P$46))+SUMPRODUCT(ISNUMBER(SEARCH($C16,'10. Activity Data Log'!$AC$7:$AC$46))*(IFERROR(VALUE(MID('10. Activity Data Log'!$AD$7:$AD$46,2,1)),99)&lt;='7. IPTT'!$C$3)*N('10. Activity Data Log'!$R$7:$R$46))+SUMPRODUCT(ISNUMBER(SEARCH($C16,'11. Distribution Log'!$AH$7:$AH$46))*(IFERROR(VALUE(MID('11. Distribution Log'!$AI$7:$AI$46,2,1)),99)&lt;='7. IPTT'!$C$3)*N('11. Distribution Log'!$T$7:$T$46)),0)</f>
        <v>0</v>
      </c>
    </row>
    <row r="17" customFormat="false" ht="202.5" hidden="false" customHeight="true" outlineLevel="0" collapsed="false">
      <c r="B17" s="22" t="s">
        <v>825</v>
      </c>
      <c r="C17" s="22" t="s">
        <v>840</v>
      </c>
      <c r="D17" s="22" t="s">
        <v>615</v>
      </c>
      <c r="E17" s="16" t="s">
        <v>841</v>
      </c>
      <c r="F17" s="16" t="s">
        <v>744</v>
      </c>
      <c r="G17" s="16" t="s">
        <v>842</v>
      </c>
      <c r="H17" s="16" t="s">
        <v>843</v>
      </c>
      <c r="I17" s="16" t="s">
        <v>844</v>
      </c>
      <c r="J17" s="16" t="s">
        <v>845</v>
      </c>
      <c r="K17" s="22" t="n">
        <v>0</v>
      </c>
      <c r="L17" s="16" t="s">
        <v>543</v>
      </c>
      <c r="M17" s="22" t="n">
        <v>51</v>
      </c>
      <c r="N17" s="22" t="s">
        <v>832</v>
      </c>
      <c r="O17" s="67" t="n">
        <f aca="false">IF(1&gt;'7. IPTT'!$C$3,"",IFERROR((SUMPRODUCT(ISNUMBER(SEARCH($C17,'8. Activity Tracker'!$J$7:$J$93))*N('8. Activity Tracker'!V$7:V$93))),0))</f>
        <v>0</v>
      </c>
      <c r="P17" s="67" t="str">
        <f aca="false">IF(2&gt;'7. IPTT'!$C$3,"",IFERROR((SUMPRODUCT(ISNUMBER(SEARCH($C17,'8. Activity Tracker'!$J$7:$J$93))*N('8. Activity Tracker'!V$7:V$93))+SUMPRODUCT(ISNUMBER(SEARCH($C17,'8. Activity Tracker'!$J$7:$J$93))*N('8. Activity Tracker'!W$7:W$93))),0))</f>
        <v/>
      </c>
      <c r="Q17" s="67" t="str">
        <f aca="false">IF(3&gt;'7. IPTT'!$C$3,"",IFERROR((SUMPRODUCT(ISNUMBER(SEARCH($C17,'8. Activity Tracker'!$J$7:$J$93))*N('8. Activity Tracker'!V$7:V$93))+SUMPRODUCT(ISNUMBER(SEARCH($C17,'8. Activity Tracker'!$J$7:$J$93))*N('8. Activity Tracker'!W$7:W$93))+SUMPRODUCT(ISNUMBER(SEARCH($C17,'8. Activity Tracker'!$J$7:$J$93))*N('8. Activity Tracker'!X$7:X$93))),0))</f>
        <v/>
      </c>
      <c r="R17" s="67" t="str">
        <f aca="false">IF(4&gt;'7. IPTT'!$C$3,"",IFERROR((SUMPRODUCT(ISNUMBER(SEARCH($C17,'8. Activity Tracker'!$J$7:$J$93))*N('8. Activity Tracker'!V$7:V$93))+SUMPRODUCT(ISNUMBER(SEARCH($C17,'8. Activity Tracker'!$J$7:$J$93))*N('8. Activity Tracker'!W$7:W$93))+SUMPRODUCT(ISNUMBER(SEARCH($C17,'8. Activity Tracker'!$J$7:$J$93))*N('8. Activity Tracker'!X$7:X$93))+SUMPRODUCT(ISNUMBER(SEARCH($C17,'8. Activity Tracker'!$J$7:$J$93))*N('8. Activity Tracker'!Y$7:Y$93))),0))</f>
        <v/>
      </c>
      <c r="S17" s="67" t="str">
        <f aca="false">IF(5&gt;'7. IPTT'!$C$3,"",IFERROR((SUMPRODUCT(ISNUMBER(SEARCH($C17,'8. Activity Tracker'!$J$7:$J$93))*N('8. Activity Tracker'!V$7:V$93))+SUMPRODUCT(ISNUMBER(SEARCH($C17,'8. Activity Tracker'!$J$7:$J$93))*N('8. Activity Tracker'!W$7:W$93))+SUMPRODUCT(ISNUMBER(SEARCH($C17,'8. Activity Tracker'!$J$7:$J$93))*N('8. Activity Tracker'!X$7:X$93))+SUMPRODUCT(ISNUMBER(SEARCH($C17,'8. Activity Tracker'!$J$7:$J$93))*N('8. Activity Tracker'!Y$7:Y$93))+SUMPRODUCT(ISNUMBER(SEARCH($C17,'8. Activity Tracker'!$J$7:$J$93))*N('8. Activity Tracker'!Z$7:Z$93))),0))</f>
        <v/>
      </c>
      <c r="T17" s="67" t="str">
        <f aca="false">IF(6&gt;'7. IPTT'!$C$3,"",IFERROR((SUMPRODUCT(ISNUMBER(SEARCH($C17,'8. Activity Tracker'!$J$7:$J$93))*N('8. Activity Tracker'!V$7:V$93))+SUMPRODUCT(ISNUMBER(SEARCH($C17,'8. Activity Tracker'!$J$7:$J$93))*N('8. Activity Tracker'!W$7:W$93))+SUMPRODUCT(ISNUMBER(SEARCH($C17,'8. Activity Tracker'!$J$7:$J$93))*N('8. Activity Tracker'!X$7:X$93))+SUMPRODUCT(ISNUMBER(SEARCH($C17,'8. Activity Tracker'!$J$7:$J$93))*N('8. Activity Tracker'!Y$7:Y$93))+SUMPRODUCT(ISNUMBER(SEARCH($C17,'8. Activity Tracker'!$J$7:$J$93))*N('8. Activity Tracker'!Z$7:Z$93))+SUMPRODUCT(ISNUMBER(SEARCH($C17,'8. Activity Tracker'!$J$7:$J$93))*N('8. Activity Tracker'!AA$7:AA$93))),0))</f>
        <v/>
      </c>
      <c r="U17" s="67" t="str">
        <f aca="false">IF(7&gt;'7. IPTT'!$C$3,"",IFERROR((SUMPRODUCT(ISNUMBER(SEARCH($C17,'8. Activity Tracker'!$J$7:$J$93))*N('8. Activity Tracker'!V$7:V$93))+SUMPRODUCT(ISNUMBER(SEARCH($C17,'8. Activity Tracker'!$J$7:$J$93))*N('8. Activity Tracker'!W$7:W$93))+SUMPRODUCT(ISNUMBER(SEARCH($C17,'8. Activity Tracker'!$J$7:$J$93))*N('8. Activity Tracker'!X$7:X$93))+SUMPRODUCT(ISNUMBER(SEARCH($C17,'8. Activity Tracker'!$J$7:$J$93))*N('8. Activity Tracker'!Y$7:Y$93))+SUMPRODUCT(ISNUMBER(SEARCH($C17,'8. Activity Tracker'!$J$7:$J$93))*N('8. Activity Tracker'!Z$7:Z$93))+SUMPRODUCT(ISNUMBER(SEARCH($C17,'8. Activity Tracker'!$J$7:$J$93))*N('8. Activity Tracker'!AA$7:AA$93))+SUMPRODUCT(ISNUMBER(SEARCH($C17,'8. Activity Tracker'!$J$7:$J$93))*N('8. Activity Tracker'!AB$7:AB$93))),0))</f>
        <v/>
      </c>
      <c r="V17" s="67" t="str">
        <f aca="false">IF(8&gt;'7. IPTT'!$C$3,"",IFERROR((SUMPRODUCT(ISNUMBER(SEARCH($C17,'8. Activity Tracker'!$J$7:$J$93))*N('8. Activity Tracker'!V$7:V$93))+SUMPRODUCT(ISNUMBER(SEARCH($C17,'8. Activity Tracker'!$J$7:$J$93))*N('8. Activity Tracker'!W$7:W$93))+SUMPRODUCT(ISNUMBER(SEARCH($C17,'8. Activity Tracker'!$J$7:$J$93))*N('8. Activity Tracker'!X$7:X$93))+SUMPRODUCT(ISNUMBER(SEARCH($C17,'8. Activity Tracker'!$J$7:$J$93))*N('8. Activity Tracker'!Y$7:Y$93))+SUMPRODUCT(ISNUMBER(SEARCH($C17,'8. Activity Tracker'!$J$7:$J$93))*N('8. Activity Tracker'!Z$7:Z$93))+SUMPRODUCT(ISNUMBER(SEARCH($C17,'8. Activity Tracker'!$J$7:$J$93))*N('8. Activity Tracker'!AA$7:AA$93))+SUMPRODUCT(ISNUMBER(SEARCH($C17,'8. Activity Tracker'!$J$7:$J$93))*N('8. Activity Tracker'!AB$7:AB$93))+SUMPRODUCT(ISNUMBER(SEARCH($C17,'8. Activity Tracker'!$J$7:$J$93))*N('8. Activity Tracker'!AC$7:AC$93))),0))</f>
        <v/>
      </c>
      <c r="W17" s="68" t="n">
        <f aca="false">IFERROR(LOOKUP(2,1/(O17:V17&lt;&gt;""),O17:V17)/$M17,"")</f>
        <v>0</v>
      </c>
      <c r="X17" s="22" t="str">
        <f aca="false">IFERROR(IF(COUNT(O17:V17)=0,"No data yet",IF(LOOKUP(2,1/(O17:V17&lt;&gt;""),O17:V17)&gt;=INDEX(O10:V10,$C$3)*$M17,"On Track",IF(LOOKUP(2,1/(O17:V17&lt;&gt;""),O17:V17)&gt;=INDEX(O10:V10,$C$3)*$M17*0.85,"Slightly Behind","Behind"))),"")</f>
        <v>Behind</v>
      </c>
      <c r="Y17" s="16" t="s">
        <v>846</v>
      </c>
      <c r="Z17" s="16" t="s">
        <v>847</v>
      </c>
      <c r="AA17" s="16" t="s">
        <v>848</v>
      </c>
      <c r="AB17" s="22" t="s">
        <v>849</v>
      </c>
      <c r="AC17" s="16" t="s">
        <v>197</v>
      </c>
      <c r="AD17" s="16" t="s">
        <v>850</v>
      </c>
      <c r="AE17" s="16" t="s">
        <v>851</v>
      </c>
      <c r="AF17" s="16" t="str">
        <f aca="false">IFERROR("During the reporting period (cumulative through Q"&amp;'7. IPTT'!$C$3&amp;"), FIVDB reported "&amp;TEXT(LOOKUP(2,1/(O17:V17&lt;&gt;""),O17:V17),"#,##0")&amp;" against the indicator '"&amp;$F17&amp;"' - "&amp;TEXT($W17,"0%")&amp;" of the "&amp;TEXT($M17,"#,##0")&amp;" life-of-project target. "&amp;"Disaggregated: "&amp;TEXT($AH17,"#,##0")&amp;" girls (&lt;18), "&amp;TEXT($AI17,"#,##0")&amp;" boys (&lt;18), "&amp;TEXT($AJ17,"#,##0")&amp;" women (18+), "&amp;TEXT($AK17,"#,##0")&amp;" men (18+).","During the reporting period, FIVDB reported progress against this indicator - see Cumulative Actual to Date and % of LOP Target Achieved.")</f>
        <v>During the reporting period (cumulative through Q1), FIVDB reported 0 against the indicator 'Number of learning spaces established or restored to minimum standards for safe learning' - 0% of the 51 life-of-project target. Disaggregated: 0 girls (&lt;18), 0 boys (&lt;18), 0 women (18+), 0 men (18+).</v>
      </c>
      <c r="AG17" s="16" t="s">
        <v>852</v>
      </c>
      <c r="AH17" s="69" t="n">
        <f aca="false">IFERROR(SUMPRODUCT(ISNUMBER(SEARCH($C17,'10. Activity Data Log'!$AC$7:$AC$46))*(IFERROR(VALUE(MID('10. Activity Data Log'!$AD$7:$AD$46,2,1)),99)&lt;='7. IPTT'!$C$3)*N('10. Activity Data Log'!$O$7:$O$46))+SUMPRODUCT(ISNUMBER(SEARCH($C17,'11. Distribution Log'!$AH$7:$AH$46))*(IFERROR(VALUE(MID('11. Distribution Log'!$AI$7:$AI$46,2,1)),99)&lt;='7. IPTT'!$C$3)*N('11. Distribution Log'!$Q$7:$Q$46))+SUMPRODUCT(ISNUMBER(SEARCH($C17,'10. Activity Data Log'!$AC$7:$AC$46))*(IFERROR(VALUE(MID('10. Activity Data Log'!$AD$7:$AD$46,2,1)),99)&lt;='7. IPTT'!$C$3)*N('10. Activity Data Log'!$S$7:$S$46))+SUMPRODUCT(ISNUMBER(SEARCH($C17,'11. Distribution Log'!$AH$7:$AH$46))*(IFERROR(VALUE(MID('11. Distribution Log'!$AI$7:$AI$46,2,1)),99)&lt;='7. IPTT'!$C$3)*N('11. Distribution Log'!$U$7:$U$46)),0)</f>
        <v>0</v>
      </c>
      <c r="AI17" s="69" t="n">
        <f aca="false">IFERROR(SUMPRODUCT(ISNUMBER(SEARCH($C17,'10. Activity Data Log'!$AC$7:$AC$46))*(IFERROR(VALUE(MID('10. Activity Data Log'!$AD$7:$AD$46,2,1)),99)&lt;='7. IPTT'!$C$3)*N('10. Activity Data Log'!$M$7:$M$46))+SUMPRODUCT(ISNUMBER(SEARCH($C17,'11. Distribution Log'!$AH$7:$AH$46))*(IFERROR(VALUE(MID('11. Distribution Log'!$AI$7:$AI$46,2,1)),99)&lt;='7. IPTT'!$C$3)*N('11. Distribution Log'!$O$7:$O$46))+SUMPRODUCT(ISNUMBER(SEARCH($C17,'10. Activity Data Log'!$AC$7:$AC$46))*(IFERROR(VALUE(MID('10. Activity Data Log'!$AD$7:$AD$46,2,1)),99)&lt;='7. IPTT'!$C$3)*N('10. Activity Data Log'!$Q$7:$Q$46))+SUMPRODUCT(ISNUMBER(SEARCH($C17,'11. Distribution Log'!$AH$7:$AH$46))*(IFERROR(VALUE(MID('11. Distribution Log'!$AI$7:$AI$46,2,1)),99)&lt;='7. IPTT'!$C$3)*N('11. Distribution Log'!$S$7:$S$46)),0)</f>
        <v>0</v>
      </c>
      <c r="AJ17" s="69" t="n">
        <f aca="false">IFERROR(SUMPRODUCT(ISNUMBER(SEARCH($C17,'10. Activity Data Log'!$AC$7:$AC$46))*(IFERROR(VALUE(MID('10. Activity Data Log'!$AD$7:$AD$46,2,1)),99)&lt;='7. IPTT'!$C$3)*N('10. Activity Data Log'!$P$7:$P$46))+SUMPRODUCT(ISNUMBER(SEARCH($C17,'11. Distribution Log'!$AH$7:$AH$46))*(IFERROR(VALUE(MID('11. Distribution Log'!$AI$7:$AI$46,2,1)),99)&lt;='7. IPTT'!$C$3)*N('11. Distribution Log'!$R$7:$R$46))+SUMPRODUCT(ISNUMBER(SEARCH($C17,'10. Activity Data Log'!$AC$7:$AC$46))*(IFERROR(VALUE(MID('10. Activity Data Log'!$AD$7:$AD$46,2,1)),99)&lt;='7. IPTT'!$C$3)*N('10. Activity Data Log'!$T$7:$T$46))+SUMPRODUCT(ISNUMBER(SEARCH($C17,'11. Distribution Log'!$AH$7:$AH$46))*(IFERROR(VALUE(MID('11. Distribution Log'!$AI$7:$AI$46,2,1)),99)&lt;='7. IPTT'!$C$3)*N('11. Distribution Log'!$V$7:$V$46)),0)</f>
        <v>0</v>
      </c>
      <c r="AK17" s="69" t="n">
        <f aca="false">IFERROR(SUMPRODUCT(ISNUMBER(SEARCH($C17,'10. Activity Data Log'!$AC$7:$AC$46))*(IFERROR(VALUE(MID('10. Activity Data Log'!$AD$7:$AD$46,2,1)),99)&lt;='7. IPTT'!$C$3)*N('10. Activity Data Log'!$N$7:$N$46))+SUMPRODUCT(ISNUMBER(SEARCH($C17,'11. Distribution Log'!$AH$7:$AH$46))*(IFERROR(VALUE(MID('11. Distribution Log'!$AI$7:$AI$46,2,1)),99)&lt;='7. IPTT'!$C$3)*N('11. Distribution Log'!$P$7:$P$46))+SUMPRODUCT(ISNUMBER(SEARCH($C17,'10. Activity Data Log'!$AC$7:$AC$46))*(IFERROR(VALUE(MID('10. Activity Data Log'!$AD$7:$AD$46,2,1)),99)&lt;='7. IPTT'!$C$3)*N('10. Activity Data Log'!$R$7:$R$46))+SUMPRODUCT(ISNUMBER(SEARCH($C17,'11. Distribution Log'!$AH$7:$AH$46))*(IFERROR(VALUE(MID('11. Distribution Log'!$AI$7:$AI$46,2,1)),99)&lt;='7. IPTT'!$C$3)*N('11. Distribution Log'!$T$7:$T$46)),0)</f>
        <v>0</v>
      </c>
    </row>
    <row r="18" customFormat="false" ht="150.75" hidden="false" customHeight="true" outlineLevel="0" collapsed="false">
      <c r="B18" s="22" t="s">
        <v>825</v>
      </c>
      <c r="C18" s="22" t="s">
        <v>853</v>
      </c>
      <c r="D18" s="22" t="s">
        <v>603</v>
      </c>
      <c r="E18" s="16" t="s">
        <v>854</v>
      </c>
      <c r="F18" s="16" t="s">
        <v>747</v>
      </c>
      <c r="G18" s="16" t="s">
        <v>855</v>
      </c>
      <c r="H18" s="16" t="s">
        <v>856</v>
      </c>
      <c r="I18" s="16" t="s">
        <v>857</v>
      </c>
      <c r="J18" s="16" t="s">
        <v>831</v>
      </c>
      <c r="K18" s="22" t="n">
        <v>0</v>
      </c>
      <c r="L18" s="16" t="s">
        <v>543</v>
      </c>
      <c r="M18" s="22" t="n">
        <v>68</v>
      </c>
      <c r="N18" s="22" t="s">
        <v>832</v>
      </c>
      <c r="O18" s="67" t="n">
        <f aca="false">IF(1&gt;'7. IPTT'!$C$3,"",IFERROR((SUMPRODUCT(ISNUMBER(SEARCH($C18,'8. Activity Tracker'!$J$7:$J$93))*N('8. Activity Tracker'!V$7:V$93))),0))</f>
        <v>0</v>
      </c>
      <c r="P18" s="67" t="str">
        <f aca="false">IF(2&gt;'7. IPTT'!$C$3,"",IFERROR((SUMPRODUCT(ISNUMBER(SEARCH($C18,'8. Activity Tracker'!$J$7:$J$93))*N('8. Activity Tracker'!V$7:V$93))+SUMPRODUCT(ISNUMBER(SEARCH($C18,'8. Activity Tracker'!$J$7:$J$93))*N('8. Activity Tracker'!W$7:W$93))),0))</f>
        <v/>
      </c>
      <c r="Q18" s="67" t="str">
        <f aca="false">IF(3&gt;'7. IPTT'!$C$3,"",IFERROR((SUMPRODUCT(ISNUMBER(SEARCH($C18,'8. Activity Tracker'!$J$7:$J$93))*N('8. Activity Tracker'!V$7:V$93))+SUMPRODUCT(ISNUMBER(SEARCH($C18,'8. Activity Tracker'!$J$7:$J$93))*N('8. Activity Tracker'!W$7:W$93))+SUMPRODUCT(ISNUMBER(SEARCH($C18,'8. Activity Tracker'!$J$7:$J$93))*N('8. Activity Tracker'!X$7:X$93))),0))</f>
        <v/>
      </c>
      <c r="R18" s="67" t="str">
        <f aca="false">IF(4&gt;'7. IPTT'!$C$3,"",IFERROR((SUMPRODUCT(ISNUMBER(SEARCH($C18,'8. Activity Tracker'!$J$7:$J$93))*N('8. Activity Tracker'!V$7:V$93))+SUMPRODUCT(ISNUMBER(SEARCH($C18,'8. Activity Tracker'!$J$7:$J$93))*N('8. Activity Tracker'!W$7:W$93))+SUMPRODUCT(ISNUMBER(SEARCH($C18,'8. Activity Tracker'!$J$7:$J$93))*N('8. Activity Tracker'!X$7:X$93))+SUMPRODUCT(ISNUMBER(SEARCH($C18,'8. Activity Tracker'!$J$7:$J$93))*N('8. Activity Tracker'!Y$7:Y$93))),0))</f>
        <v/>
      </c>
      <c r="S18" s="67" t="str">
        <f aca="false">IF(5&gt;'7. IPTT'!$C$3,"",IFERROR((SUMPRODUCT(ISNUMBER(SEARCH($C18,'8. Activity Tracker'!$J$7:$J$93))*N('8. Activity Tracker'!V$7:V$93))+SUMPRODUCT(ISNUMBER(SEARCH($C18,'8. Activity Tracker'!$J$7:$J$93))*N('8. Activity Tracker'!W$7:W$93))+SUMPRODUCT(ISNUMBER(SEARCH($C18,'8. Activity Tracker'!$J$7:$J$93))*N('8. Activity Tracker'!X$7:X$93))+SUMPRODUCT(ISNUMBER(SEARCH($C18,'8. Activity Tracker'!$J$7:$J$93))*N('8. Activity Tracker'!Y$7:Y$93))+SUMPRODUCT(ISNUMBER(SEARCH($C18,'8. Activity Tracker'!$J$7:$J$93))*N('8. Activity Tracker'!Z$7:Z$93))),0))</f>
        <v/>
      </c>
      <c r="T18" s="67" t="str">
        <f aca="false">IF(6&gt;'7. IPTT'!$C$3,"",IFERROR((SUMPRODUCT(ISNUMBER(SEARCH($C18,'8. Activity Tracker'!$J$7:$J$93))*N('8. Activity Tracker'!V$7:V$93))+SUMPRODUCT(ISNUMBER(SEARCH($C18,'8. Activity Tracker'!$J$7:$J$93))*N('8. Activity Tracker'!W$7:W$93))+SUMPRODUCT(ISNUMBER(SEARCH($C18,'8. Activity Tracker'!$J$7:$J$93))*N('8. Activity Tracker'!X$7:X$93))+SUMPRODUCT(ISNUMBER(SEARCH($C18,'8. Activity Tracker'!$J$7:$J$93))*N('8. Activity Tracker'!Y$7:Y$93))+SUMPRODUCT(ISNUMBER(SEARCH($C18,'8. Activity Tracker'!$J$7:$J$93))*N('8. Activity Tracker'!Z$7:Z$93))+SUMPRODUCT(ISNUMBER(SEARCH($C18,'8. Activity Tracker'!$J$7:$J$93))*N('8. Activity Tracker'!AA$7:AA$93))),0))</f>
        <v/>
      </c>
      <c r="U18" s="67" t="str">
        <f aca="false">IF(7&gt;'7. IPTT'!$C$3,"",IFERROR((SUMPRODUCT(ISNUMBER(SEARCH($C18,'8. Activity Tracker'!$J$7:$J$93))*N('8. Activity Tracker'!V$7:V$93))+SUMPRODUCT(ISNUMBER(SEARCH($C18,'8. Activity Tracker'!$J$7:$J$93))*N('8. Activity Tracker'!W$7:W$93))+SUMPRODUCT(ISNUMBER(SEARCH($C18,'8. Activity Tracker'!$J$7:$J$93))*N('8. Activity Tracker'!X$7:X$93))+SUMPRODUCT(ISNUMBER(SEARCH($C18,'8. Activity Tracker'!$J$7:$J$93))*N('8. Activity Tracker'!Y$7:Y$93))+SUMPRODUCT(ISNUMBER(SEARCH($C18,'8. Activity Tracker'!$J$7:$J$93))*N('8. Activity Tracker'!Z$7:Z$93))+SUMPRODUCT(ISNUMBER(SEARCH($C18,'8. Activity Tracker'!$J$7:$J$93))*N('8. Activity Tracker'!AA$7:AA$93))+SUMPRODUCT(ISNUMBER(SEARCH($C18,'8. Activity Tracker'!$J$7:$J$93))*N('8. Activity Tracker'!AB$7:AB$93))),0))</f>
        <v/>
      </c>
      <c r="V18" s="67" t="str">
        <f aca="false">IF(8&gt;'7. IPTT'!$C$3,"",IFERROR((SUMPRODUCT(ISNUMBER(SEARCH($C18,'8. Activity Tracker'!$J$7:$J$93))*N('8. Activity Tracker'!V$7:V$93))+SUMPRODUCT(ISNUMBER(SEARCH($C18,'8. Activity Tracker'!$J$7:$J$93))*N('8. Activity Tracker'!W$7:W$93))+SUMPRODUCT(ISNUMBER(SEARCH($C18,'8. Activity Tracker'!$J$7:$J$93))*N('8. Activity Tracker'!X$7:X$93))+SUMPRODUCT(ISNUMBER(SEARCH($C18,'8. Activity Tracker'!$J$7:$J$93))*N('8. Activity Tracker'!Y$7:Y$93))+SUMPRODUCT(ISNUMBER(SEARCH($C18,'8. Activity Tracker'!$J$7:$J$93))*N('8. Activity Tracker'!Z$7:Z$93))+SUMPRODUCT(ISNUMBER(SEARCH($C18,'8. Activity Tracker'!$J$7:$J$93))*N('8. Activity Tracker'!AA$7:AA$93))+SUMPRODUCT(ISNUMBER(SEARCH($C18,'8. Activity Tracker'!$J$7:$J$93))*N('8. Activity Tracker'!AB$7:AB$93))+SUMPRODUCT(ISNUMBER(SEARCH($C18,'8. Activity Tracker'!$J$7:$J$93))*N('8. Activity Tracker'!AC$7:AC$93))),0))</f>
        <v/>
      </c>
      <c r="W18" s="68" t="n">
        <f aca="false">IFERROR(LOOKUP(2,1/(O18:V18&lt;&gt;""),O18:V18)/$M18,"")</f>
        <v>0</v>
      </c>
      <c r="X18" s="22" t="str">
        <f aca="false">IFERROR(IF(COUNT(O18:V18)=0,"No data yet",IF(LOOKUP(2,1/(O18:V18&lt;&gt;""),O18:V18)&gt;=INDEX(O10:V10,$C$3)*$M18,"On Track",IF(LOOKUP(2,1/(O18:V18&lt;&gt;""),O18:V18)&gt;=INDEX(O10:V10,$C$3)*$M18*0.85,"Slightly Behind","Behind"))),"")</f>
        <v>Behind</v>
      </c>
      <c r="Y18" s="16" t="s">
        <v>858</v>
      </c>
      <c r="Z18" s="16" t="s">
        <v>859</v>
      </c>
      <c r="AA18" s="16" t="s">
        <v>860</v>
      </c>
      <c r="AB18" s="22" t="s">
        <v>861</v>
      </c>
      <c r="AC18" s="16" t="s">
        <v>197</v>
      </c>
      <c r="AD18" s="16" t="s">
        <v>850</v>
      </c>
      <c r="AE18" s="16" t="s">
        <v>862</v>
      </c>
      <c r="AF18" s="16" t="str">
        <f aca="false">IFERROR("During the reporting period (cumulative through Q"&amp;'7. IPTT'!$C$3&amp;"), FIVDB reported "&amp;TEXT(LOOKUP(2,1/(O18:V18&lt;&gt;""),O18:V18),"#,##0")&amp;" against the indicator '"&amp;$F18&amp;"' - "&amp;TEXT($W18,"0%")&amp;" of the "&amp;TEXT($M18,"#,##0")&amp;" life-of-project target. "&amp;"Disaggregated: "&amp;TEXT($AH18,"#,##0")&amp;" girls (&lt;18), "&amp;TEXT($AI18,"#,##0")&amp;" boys (&lt;18), "&amp;TEXT($AJ18,"#,##0")&amp;" women (18+), "&amp;TEXT($AK18,"#,##0")&amp;" men (18+).","During the reporting period, FIVDB reported progress against this indicator - see Cumulative Actual to Date and % of LOP Target Achieved.")</f>
        <v>During the reporting period (cumulative through Q1), FIVDB reported 0 against the indicator 'Number of teachers provided with teaching aids/materials' - 0% of the 68 life-of-project target. Disaggregated: 0 girls (&lt;18), 0 boys (&lt;18), 0 women (18+), 0 men (18+).</v>
      </c>
      <c r="AG18" s="16" t="s">
        <v>863</v>
      </c>
      <c r="AH18" s="69" t="n">
        <f aca="false">IFERROR(SUMPRODUCT(ISNUMBER(SEARCH($C18,'10. Activity Data Log'!$AC$7:$AC$46))*(IFERROR(VALUE(MID('10. Activity Data Log'!$AD$7:$AD$46,2,1)),99)&lt;='7. IPTT'!$C$3)*N('10. Activity Data Log'!$O$7:$O$46))+SUMPRODUCT(ISNUMBER(SEARCH($C18,'11. Distribution Log'!$AH$7:$AH$46))*(IFERROR(VALUE(MID('11. Distribution Log'!$AI$7:$AI$46,2,1)),99)&lt;='7. IPTT'!$C$3)*N('11. Distribution Log'!$Q$7:$Q$46))+SUMPRODUCT(ISNUMBER(SEARCH($C18,'10. Activity Data Log'!$AC$7:$AC$46))*(IFERROR(VALUE(MID('10. Activity Data Log'!$AD$7:$AD$46,2,1)),99)&lt;='7. IPTT'!$C$3)*N('10. Activity Data Log'!$S$7:$S$46))+SUMPRODUCT(ISNUMBER(SEARCH($C18,'11. Distribution Log'!$AH$7:$AH$46))*(IFERROR(VALUE(MID('11. Distribution Log'!$AI$7:$AI$46,2,1)),99)&lt;='7. IPTT'!$C$3)*N('11. Distribution Log'!$U$7:$U$46)),0)</f>
        <v>0</v>
      </c>
      <c r="AI18" s="69" t="n">
        <f aca="false">IFERROR(SUMPRODUCT(ISNUMBER(SEARCH($C18,'10. Activity Data Log'!$AC$7:$AC$46))*(IFERROR(VALUE(MID('10. Activity Data Log'!$AD$7:$AD$46,2,1)),99)&lt;='7. IPTT'!$C$3)*N('10. Activity Data Log'!$M$7:$M$46))+SUMPRODUCT(ISNUMBER(SEARCH($C18,'11. Distribution Log'!$AH$7:$AH$46))*(IFERROR(VALUE(MID('11. Distribution Log'!$AI$7:$AI$46,2,1)),99)&lt;='7. IPTT'!$C$3)*N('11. Distribution Log'!$O$7:$O$46))+SUMPRODUCT(ISNUMBER(SEARCH($C18,'10. Activity Data Log'!$AC$7:$AC$46))*(IFERROR(VALUE(MID('10. Activity Data Log'!$AD$7:$AD$46,2,1)),99)&lt;='7. IPTT'!$C$3)*N('10. Activity Data Log'!$Q$7:$Q$46))+SUMPRODUCT(ISNUMBER(SEARCH($C18,'11. Distribution Log'!$AH$7:$AH$46))*(IFERROR(VALUE(MID('11. Distribution Log'!$AI$7:$AI$46,2,1)),99)&lt;='7. IPTT'!$C$3)*N('11. Distribution Log'!$S$7:$S$46)),0)</f>
        <v>0</v>
      </c>
      <c r="AJ18" s="69" t="n">
        <f aca="false">IFERROR(SUMPRODUCT(ISNUMBER(SEARCH($C18,'10. Activity Data Log'!$AC$7:$AC$46))*(IFERROR(VALUE(MID('10. Activity Data Log'!$AD$7:$AD$46,2,1)),99)&lt;='7. IPTT'!$C$3)*N('10. Activity Data Log'!$P$7:$P$46))+SUMPRODUCT(ISNUMBER(SEARCH($C18,'11. Distribution Log'!$AH$7:$AH$46))*(IFERROR(VALUE(MID('11. Distribution Log'!$AI$7:$AI$46,2,1)),99)&lt;='7. IPTT'!$C$3)*N('11. Distribution Log'!$R$7:$R$46))+SUMPRODUCT(ISNUMBER(SEARCH($C18,'10. Activity Data Log'!$AC$7:$AC$46))*(IFERROR(VALUE(MID('10. Activity Data Log'!$AD$7:$AD$46,2,1)),99)&lt;='7. IPTT'!$C$3)*N('10. Activity Data Log'!$T$7:$T$46))+SUMPRODUCT(ISNUMBER(SEARCH($C18,'11. Distribution Log'!$AH$7:$AH$46))*(IFERROR(VALUE(MID('11. Distribution Log'!$AI$7:$AI$46,2,1)),99)&lt;='7. IPTT'!$C$3)*N('11. Distribution Log'!$V$7:$V$46)),0)</f>
        <v>0</v>
      </c>
      <c r="AK18" s="69" t="n">
        <f aca="false">IFERROR(SUMPRODUCT(ISNUMBER(SEARCH($C18,'10. Activity Data Log'!$AC$7:$AC$46))*(IFERROR(VALUE(MID('10. Activity Data Log'!$AD$7:$AD$46,2,1)),99)&lt;='7. IPTT'!$C$3)*N('10. Activity Data Log'!$N$7:$N$46))+SUMPRODUCT(ISNUMBER(SEARCH($C18,'11. Distribution Log'!$AH$7:$AH$46))*(IFERROR(VALUE(MID('11. Distribution Log'!$AI$7:$AI$46,2,1)),99)&lt;='7. IPTT'!$C$3)*N('11. Distribution Log'!$P$7:$P$46))+SUMPRODUCT(ISNUMBER(SEARCH($C18,'10. Activity Data Log'!$AC$7:$AC$46))*(IFERROR(VALUE(MID('10. Activity Data Log'!$AD$7:$AD$46,2,1)),99)&lt;='7. IPTT'!$C$3)*N('10. Activity Data Log'!$R$7:$R$46))+SUMPRODUCT(ISNUMBER(SEARCH($C18,'11. Distribution Log'!$AH$7:$AH$46))*(IFERROR(VALUE(MID('11. Distribution Log'!$AI$7:$AI$46,2,1)),99)&lt;='7. IPTT'!$C$3)*N('11. Distribution Log'!$T$7:$T$46)),0)</f>
        <v>0</v>
      </c>
    </row>
    <row r="19" customFormat="false" ht="189.75" hidden="false" customHeight="true" outlineLevel="0" collapsed="false">
      <c r="B19" s="22" t="s">
        <v>825</v>
      </c>
      <c r="C19" s="22" t="s">
        <v>864</v>
      </c>
      <c r="D19" s="22" t="s">
        <v>608</v>
      </c>
      <c r="E19" s="16" t="s">
        <v>865</v>
      </c>
      <c r="F19" s="16" t="s">
        <v>750</v>
      </c>
      <c r="G19" s="16" t="s">
        <v>866</v>
      </c>
      <c r="H19" s="16" t="s">
        <v>867</v>
      </c>
      <c r="I19" s="16" t="s">
        <v>868</v>
      </c>
      <c r="J19" s="16" t="s">
        <v>831</v>
      </c>
      <c r="K19" s="22" t="n">
        <v>0</v>
      </c>
      <c r="L19" s="16" t="s">
        <v>543</v>
      </c>
      <c r="M19" s="22" t="n">
        <v>1224</v>
      </c>
      <c r="N19" s="22" t="s">
        <v>832</v>
      </c>
      <c r="O19" s="67" t="n">
        <f aca="false">IF(1&gt;'7. IPTT'!$C$3,"",IFERROR((SUMPRODUCT(ISNUMBER(SEARCH($C19,'8. Activity Tracker'!$J$7:$J$93))*N('8. Activity Tracker'!V$7:V$93))),0))</f>
        <v>0</v>
      </c>
      <c r="P19" s="67" t="str">
        <f aca="false">IF(2&gt;'7. IPTT'!$C$3,"",IFERROR((SUMPRODUCT(ISNUMBER(SEARCH($C19,'8. Activity Tracker'!$J$7:$J$93))*N('8. Activity Tracker'!V$7:V$93))+SUMPRODUCT(ISNUMBER(SEARCH($C19,'8. Activity Tracker'!$J$7:$J$93))*N('8. Activity Tracker'!W$7:W$93))),0))</f>
        <v/>
      </c>
      <c r="Q19" s="67" t="str">
        <f aca="false">IF(3&gt;'7. IPTT'!$C$3,"",IFERROR((SUMPRODUCT(ISNUMBER(SEARCH($C19,'8. Activity Tracker'!$J$7:$J$93))*N('8. Activity Tracker'!V$7:V$93))+SUMPRODUCT(ISNUMBER(SEARCH($C19,'8. Activity Tracker'!$J$7:$J$93))*N('8. Activity Tracker'!W$7:W$93))+SUMPRODUCT(ISNUMBER(SEARCH($C19,'8. Activity Tracker'!$J$7:$J$93))*N('8. Activity Tracker'!X$7:X$93))),0))</f>
        <v/>
      </c>
      <c r="R19" s="67" t="str">
        <f aca="false">IF(4&gt;'7. IPTT'!$C$3,"",IFERROR((SUMPRODUCT(ISNUMBER(SEARCH($C19,'8. Activity Tracker'!$J$7:$J$93))*N('8. Activity Tracker'!V$7:V$93))+SUMPRODUCT(ISNUMBER(SEARCH($C19,'8. Activity Tracker'!$J$7:$J$93))*N('8. Activity Tracker'!W$7:W$93))+SUMPRODUCT(ISNUMBER(SEARCH($C19,'8. Activity Tracker'!$J$7:$J$93))*N('8. Activity Tracker'!X$7:X$93))+SUMPRODUCT(ISNUMBER(SEARCH($C19,'8. Activity Tracker'!$J$7:$J$93))*N('8. Activity Tracker'!Y$7:Y$93))),0))</f>
        <v/>
      </c>
      <c r="S19" s="67" t="str">
        <f aca="false">IF(5&gt;'7. IPTT'!$C$3,"",IFERROR((SUMPRODUCT(ISNUMBER(SEARCH($C19,'8. Activity Tracker'!$J$7:$J$93))*N('8. Activity Tracker'!V$7:V$93))+SUMPRODUCT(ISNUMBER(SEARCH($C19,'8. Activity Tracker'!$J$7:$J$93))*N('8. Activity Tracker'!W$7:W$93))+SUMPRODUCT(ISNUMBER(SEARCH($C19,'8. Activity Tracker'!$J$7:$J$93))*N('8. Activity Tracker'!X$7:X$93))+SUMPRODUCT(ISNUMBER(SEARCH($C19,'8. Activity Tracker'!$J$7:$J$93))*N('8. Activity Tracker'!Y$7:Y$93))+SUMPRODUCT(ISNUMBER(SEARCH($C19,'8. Activity Tracker'!$J$7:$J$93))*N('8. Activity Tracker'!Z$7:Z$93))),0))</f>
        <v/>
      </c>
      <c r="T19" s="67" t="str">
        <f aca="false">IF(6&gt;'7. IPTT'!$C$3,"",IFERROR((SUMPRODUCT(ISNUMBER(SEARCH($C19,'8. Activity Tracker'!$J$7:$J$93))*N('8. Activity Tracker'!V$7:V$93))+SUMPRODUCT(ISNUMBER(SEARCH($C19,'8. Activity Tracker'!$J$7:$J$93))*N('8. Activity Tracker'!W$7:W$93))+SUMPRODUCT(ISNUMBER(SEARCH($C19,'8. Activity Tracker'!$J$7:$J$93))*N('8. Activity Tracker'!X$7:X$93))+SUMPRODUCT(ISNUMBER(SEARCH($C19,'8. Activity Tracker'!$J$7:$J$93))*N('8. Activity Tracker'!Y$7:Y$93))+SUMPRODUCT(ISNUMBER(SEARCH($C19,'8. Activity Tracker'!$J$7:$J$93))*N('8. Activity Tracker'!Z$7:Z$93))+SUMPRODUCT(ISNUMBER(SEARCH($C19,'8. Activity Tracker'!$J$7:$J$93))*N('8. Activity Tracker'!AA$7:AA$93))),0))</f>
        <v/>
      </c>
      <c r="U19" s="67" t="str">
        <f aca="false">IF(7&gt;'7. IPTT'!$C$3,"",IFERROR((SUMPRODUCT(ISNUMBER(SEARCH($C19,'8. Activity Tracker'!$J$7:$J$93))*N('8. Activity Tracker'!V$7:V$93))+SUMPRODUCT(ISNUMBER(SEARCH($C19,'8. Activity Tracker'!$J$7:$J$93))*N('8. Activity Tracker'!W$7:W$93))+SUMPRODUCT(ISNUMBER(SEARCH($C19,'8. Activity Tracker'!$J$7:$J$93))*N('8. Activity Tracker'!X$7:X$93))+SUMPRODUCT(ISNUMBER(SEARCH($C19,'8. Activity Tracker'!$J$7:$J$93))*N('8. Activity Tracker'!Y$7:Y$93))+SUMPRODUCT(ISNUMBER(SEARCH($C19,'8. Activity Tracker'!$J$7:$J$93))*N('8. Activity Tracker'!Z$7:Z$93))+SUMPRODUCT(ISNUMBER(SEARCH($C19,'8. Activity Tracker'!$J$7:$J$93))*N('8. Activity Tracker'!AA$7:AA$93))+SUMPRODUCT(ISNUMBER(SEARCH($C19,'8. Activity Tracker'!$J$7:$J$93))*N('8. Activity Tracker'!AB$7:AB$93))),0))</f>
        <v/>
      </c>
      <c r="V19" s="67" t="str">
        <f aca="false">IF(8&gt;'7. IPTT'!$C$3,"",IFERROR((SUMPRODUCT(ISNUMBER(SEARCH($C19,'8. Activity Tracker'!$J$7:$J$93))*N('8. Activity Tracker'!V$7:V$93))+SUMPRODUCT(ISNUMBER(SEARCH($C19,'8. Activity Tracker'!$J$7:$J$93))*N('8. Activity Tracker'!W$7:W$93))+SUMPRODUCT(ISNUMBER(SEARCH($C19,'8. Activity Tracker'!$J$7:$J$93))*N('8. Activity Tracker'!X$7:X$93))+SUMPRODUCT(ISNUMBER(SEARCH($C19,'8. Activity Tracker'!$J$7:$J$93))*N('8. Activity Tracker'!Y$7:Y$93))+SUMPRODUCT(ISNUMBER(SEARCH($C19,'8. Activity Tracker'!$J$7:$J$93))*N('8. Activity Tracker'!Z$7:Z$93))+SUMPRODUCT(ISNUMBER(SEARCH($C19,'8. Activity Tracker'!$J$7:$J$93))*N('8. Activity Tracker'!AA$7:AA$93))+SUMPRODUCT(ISNUMBER(SEARCH($C19,'8. Activity Tracker'!$J$7:$J$93))*N('8. Activity Tracker'!AB$7:AB$93))+SUMPRODUCT(ISNUMBER(SEARCH($C19,'8. Activity Tracker'!$J$7:$J$93))*N('8. Activity Tracker'!AC$7:AC$93))),0))</f>
        <v/>
      </c>
      <c r="W19" s="68" t="n">
        <f aca="false">IFERROR(LOOKUP(2,1/(O19:V19&lt;&gt;""),O19:V19)/$M19,"")</f>
        <v>0</v>
      </c>
      <c r="X19" s="22" t="str">
        <f aca="false">IFERROR(IF(COUNT(O19:V19)=0,"No data yet",IF(LOOKUP(2,1/(O19:V19&lt;&gt;""),O19:V19)&gt;=INDEX(O10:V10,$C$3)*$M19,"On Track",IF(LOOKUP(2,1/(O19:V19&lt;&gt;""),O19:V19)&gt;=INDEX(O10:V10,$C$3)*$M19*0.85,"Slightly Behind","Behind"))),"")</f>
        <v>Behind</v>
      </c>
      <c r="Y19" s="16" t="s">
        <v>869</v>
      </c>
      <c r="Z19" s="16" t="s">
        <v>870</v>
      </c>
      <c r="AA19" s="16" t="s">
        <v>871</v>
      </c>
      <c r="AB19" s="22" t="s">
        <v>872</v>
      </c>
      <c r="AC19" s="16" t="s">
        <v>181</v>
      </c>
      <c r="AD19" s="16" t="s">
        <v>837</v>
      </c>
      <c r="AE19" s="16" t="s">
        <v>873</v>
      </c>
      <c r="AF19" s="16" t="str">
        <f aca="false">IFERROR("During the reporting period (cumulative through Q"&amp;'7. IPTT'!$C$3&amp;"), FIVDB reported "&amp;TEXT(LOOKUP(2,1/(O19:V19&lt;&gt;""),O19:V19),"#,##0")&amp;" against the indicator '"&amp;$F19&amp;"' - "&amp;TEXT($W19,"0%")&amp;" of the "&amp;TEXT($M19,"#,##0")&amp;" life-of-project target. "&amp;"Disaggregated: "&amp;TEXT($AH19,"#,##0")&amp;" girls (&lt;18), "&amp;TEXT($AI19,"#,##0")&amp;" boys (&lt;18), "&amp;TEXT($AJ19,"#,##0")&amp;" women (18+), "&amp;TEXT($AK19,"#,##0")&amp;" men (18+).","During the reporting period, FIVDB reported progress against this indicator - see Cumulative Actual to Date and % of LOP Target Achieved.")</f>
        <v>During the reporting period (cumulative through Q1), FIVDB reported 0 against the indicator 'Number of girls and boys provided with learning materials' - 0% of the 1,224 life-of-project target. Disaggregated: 0 girls (&lt;18), 0 boys (&lt;18), 0 women (18+), 0 men (18+).</v>
      </c>
      <c r="AG19" s="16" t="s">
        <v>874</v>
      </c>
      <c r="AH19" s="69" t="n">
        <f aca="false">IFERROR(SUMPRODUCT(ISNUMBER(SEARCH($C19,'10. Activity Data Log'!$AC$7:$AC$46))*(IFERROR(VALUE(MID('10. Activity Data Log'!$AD$7:$AD$46,2,1)),99)&lt;='7. IPTT'!$C$3)*N('10. Activity Data Log'!$O$7:$O$46))+SUMPRODUCT(ISNUMBER(SEARCH($C19,'11. Distribution Log'!$AH$7:$AH$46))*(IFERROR(VALUE(MID('11. Distribution Log'!$AI$7:$AI$46,2,1)),99)&lt;='7. IPTT'!$C$3)*N('11. Distribution Log'!$Q$7:$Q$46))+SUMPRODUCT(ISNUMBER(SEARCH($C19,'10. Activity Data Log'!$AC$7:$AC$46))*(IFERROR(VALUE(MID('10. Activity Data Log'!$AD$7:$AD$46,2,1)),99)&lt;='7. IPTT'!$C$3)*N('10. Activity Data Log'!$S$7:$S$46))+SUMPRODUCT(ISNUMBER(SEARCH($C19,'11. Distribution Log'!$AH$7:$AH$46))*(IFERROR(VALUE(MID('11. Distribution Log'!$AI$7:$AI$46,2,1)),99)&lt;='7. IPTT'!$C$3)*N('11. Distribution Log'!$U$7:$U$46)),0)</f>
        <v>0</v>
      </c>
      <c r="AI19" s="69" t="n">
        <f aca="false">IFERROR(SUMPRODUCT(ISNUMBER(SEARCH($C19,'10. Activity Data Log'!$AC$7:$AC$46))*(IFERROR(VALUE(MID('10. Activity Data Log'!$AD$7:$AD$46,2,1)),99)&lt;='7. IPTT'!$C$3)*N('10. Activity Data Log'!$M$7:$M$46))+SUMPRODUCT(ISNUMBER(SEARCH($C19,'11. Distribution Log'!$AH$7:$AH$46))*(IFERROR(VALUE(MID('11. Distribution Log'!$AI$7:$AI$46,2,1)),99)&lt;='7. IPTT'!$C$3)*N('11. Distribution Log'!$O$7:$O$46))+SUMPRODUCT(ISNUMBER(SEARCH($C19,'10. Activity Data Log'!$AC$7:$AC$46))*(IFERROR(VALUE(MID('10. Activity Data Log'!$AD$7:$AD$46,2,1)),99)&lt;='7. IPTT'!$C$3)*N('10. Activity Data Log'!$Q$7:$Q$46))+SUMPRODUCT(ISNUMBER(SEARCH($C19,'11. Distribution Log'!$AH$7:$AH$46))*(IFERROR(VALUE(MID('11. Distribution Log'!$AI$7:$AI$46,2,1)),99)&lt;='7. IPTT'!$C$3)*N('11. Distribution Log'!$S$7:$S$46)),0)</f>
        <v>0</v>
      </c>
      <c r="AJ19" s="69" t="n">
        <f aca="false">IFERROR(SUMPRODUCT(ISNUMBER(SEARCH($C19,'10. Activity Data Log'!$AC$7:$AC$46))*(IFERROR(VALUE(MID('10. Activity Data Log'!$AD$7:$AD$46,2,1)),99)&lt;='7. IPTT'!$C$3)*N('10. Activity Data Log'!$P$7:$P$46))+SUMPRODUCT(ISNUMBER(SEARCH($C19,'11. Distribution Log'!$AH$7:$AH$46))*(IFERROR(VALUE(MID('11. Distribution Log'!$AI$7:$AI$46,2,1)),99)&lt;='7. IPTT'!$C$3)*N('11. Distribution Log'!$R$7:$R$46))+SUMPRODUCT(ISNUMBER(SEARCH($C19,'10. Activity Data Log'!$AC$7:$AC$46))*(IFERROR(VALUE(MID('10. Activity Data Log'!$AD$7:$AD$46,2,1)),99)&lt;='7. IPTT'!$C$3)*N('10. Activity Data Log'!$T$7:$T$46))+SUMPRODUCT(ISNUMBER(SEARCH($C19,'11. Distribution Log'!$AH$7:$AH$46))*(IFERROR(VALUE(MID('11. Distribution Log'!$AI$7:$AI$46,2,1)),99)&lt;='7. IPTT'!$C$3)*N('11. Distribution Log'!$V$7:$V$46)),0)</f>
        <v>0</v>
      </c>
      <c r="AK19" s="69" t="n">
        <f aca="false">IFERROR(SUMPRODUCT(ISNUMBER(SEARCH($C19,'10. Activity Data Log'!$AC$7:$AC$46))*(IFERROR(VALUE(MID('10. Activity Data Log'!$AD$7:$AD$46,2,1)),99)&lt;='7. IPTT'!$C$3)*N('10. Activity Data Log'!$N$7:$N$46))+SUMPRODUCT(ISNUMBER(SEARCH($C19,'11. Distribution Log'!$AH$7:$AH$46))*(IFERROR(VALUE(MID('11. Distribution Log'!$AI$7:$AI$46,2,1)),99)&lt;='7. IPTT'!$C$3)*N('11. Distribution Log'!$P$7:$P$46))+SUMPRODUCT(ISNUMBER(SEARCH($C19,'10. Activity Data Log'!$AC$7:$AC$46))*(IFERROR(VALUE(MID('10. Activity Data Log'!$AD$7:$AD$46,2,1)),99)&lt;='7. IPTT'!$C$3)*N('10. Activity Data Log'!$R$7:$R$46))+SUMPRODUCT(ISNUMBER(SEARCH($C19,'11. Distribution Log'!$AH$7:$AH$46))*(IFERROR(VALUE(MID('11. Distribution Log'!$AI$7:$AI$46,2,1)),99)&lt;='7. IPTT'!$C$3)*N('11. Distribution Log'!$T$7:$T$46)),0)</f>
        <v>0</v>
      </c>
    </row>
    <row r="20" customFormat="false" ht="228.75" hidden="false" customHeight="true" outlineLevel="0" collapsed="false">
      <c r="B20" s="22" t="s">
        <v>825</v>
      </c>
      <c r="C20" s="22" t="s">
        <v>875</v>
      </c>
      <c r="D20" s="22" t="s">
        <v>629</v>
      </c>
      <c r="E20" s="16" t="s">
        <v>876</v>
      </c>
      <c r="F20" s="16" t="s">
        <v>877</v>
      </c>
      <c r="G20" s="16" t="s">
        <v>878</v>
      </c>
      <c r="H20" s="16" t="s">
        <v>879</v>
      </c>
      <c r="I20" s="16" t="s">
        <v>880</v>
      </c>
      <c r="J20" s="16" t="s">
        <v>881</v>
      </c>
      <c r="K20" s="22" t="n">
        <v>0</v>
      </c>
      <c r="L20" s="16" t="s">
        <v>882</v>
      </c>
      <c r="M20" s="22" t="n">
        <v>68</v>
      </c>
      <c r="N20" s="22" t="s">
        <v>832</v>
      </c>
      <c r="O20" s="67" t="n">
        <f aca="false">IF(1&gt;'7. IPTT'!$C$3,"",IFERROR((SUMPRODUCT(ISNUMBER(SEARCH($C20,'8. Activity Tracker'!$J$7:$J$93))*N('8. Activity Tracker'!V$7:V$93))),0))</f>
        <v>0</v>
      </c>
      <c r="P20" s="67" t="str">
        <f aca="false">IF(2&gt;'7. IPTT'!$C$3,"",IFERROR((SUMPRODUCT(ISNUMBER(SEARCH($C20,'8. Activity Tracker'!$J$7:$J$93))*N('8. Activity Tracker'!V$7:V$93))+SUMPRODUCT(ISNUMBER(SEARCH($C20,'8. Activity Tracker'!$J$7:$J$93))*N('8. Activity Tracker'!W$7:W$93))),0))</f>
        <v/>
      </c>
      <c r="Q20" s="67" t="str">
        <f aca="false">IF(3&gt;'7. IPTT'!$C$3,"",IFERROR((SUMPRODUCT(ISNUMBER(SEARCH($C20,'8. Activity Tracker'!$J$7:$J$93))*N('8. Activity Tracker'!V$7:V$93))+SUMPRODUCT(ISNUMBER(SEARCH($C20,'8. Activity Tracker'!$J$7:$J$93))*N('8. Activity Tracker'!W$7:W$93))+SUMPRODUCT(ISNUMBER(SEARCH($C20,'8. Activity Tracker'!$J$7:$J$93))*N('8. Activity Tracker'!X$7:X$93))),0))</f>
        <v/>
      </c>
      <c r="R20" s="67" t="str">
        <f aca="false">IF(4&gt;'7. IPTT'!$C$3,"",IFERROR((SUMPRODUCT(ISNUMBER(SEARCH($C20,'8. Activity Tracker'!$J$7:$J$93))*N('8. Activity Tracker'!V$7:V$93))+SUMPRODUCT(ISNUMBER(SEARCH($C20,'8. Activity Tracker'!$J$7:$J$93))*N('8. Activity Tracker'!W$7:W$93))+SUMPRODUCT(ISNUMBER(SEARCH($C20,'8. Activity Tracker'!$J$7:$J$93))*N('8. Activity Tracker'!X$7:X$93))+SUMPRODUCT(ISNUMBER(SEARCH($C20,'8. Activity Tracker'!$J$7:$J$93))*N('8. Activity Tracker'!Y$7:Y$93))),0))</f>
        <v/>
      </c>
      <c r="S20" s="67" t="str">
        <f aca="false">IF(5&gt;'7. IPTT'!$C$3,"",IFERROR((SUMPRODUCT(ISNUMBER(SEARCH($C20,'8. Activity Tracker'!$J$7:$J$93))*N('8. Activity Tracker'!V$7:V$93))+SUMPRODUCT(ISNUMBER(SEARCH($C20,'8. Activity Tracker'!$J$7:$J$93))*N('8. Activity Tracker'!W$7:W$93))+SUMPRODUCT(ISNUMBER(SEARCH($C20,'8. Activity Tracker'!$J$7:$J$93))*N('8. Activity Tracker'!X$7:X$93))+SUMPRODUCT(ISNUMBER(SEARCH($C20,'8. Activity Tracker'!$J$7:$J$93))*N('8. Activity Tracker'!Y$7:Y$93))+SUMPRODUCT(ISNUMBER(SEARCH($C20,'8. Activity Tracker'!$J$7:$J$93))*N('8. Activity Tracker'!Z$7:Z$93))),0))</f>
        <v/>
      </c>
      <c r="T20" s="67" t="str">
        <f aca="false">IF(6&gt;'7. IPTT'!$C$3,"",IFERROR((SUMPRODUCT(ISNUMBER(SEARCH($C20,'8. Activity Tracker'!$J$7:$J$93))*N('8. Activity Tracker'!V$7:V$93))+SUMPRODUCT(ISNUMBER(SEARCH($C20,'8. Activity Tracker'!$J$7:$J$93))*N('8. Activity Tracker'!W$7:W$93))+SUMPRODUCT(ISNUMBER(SEARCH($C20,'8. Activity Tracker'!$J$7:$J$93))*N('8. Activity Tracker'!X$7:X$93))+SUMPRODUCT(ISNUMBER(SEARCH($C20,'8. Activity Tracker'!$J$7:$J$93))*N('8. Activity Tracker'!Y$7:Y$93))+SUMPRODUCT(ISNUMBER(SEARCH($C20,'8. Activity Tracker'!$J$7:$J$93))*N('8. Activity Tracker'!Z$7:Z$93))+SUMPRODUCT(ISNUMBER(SEARCH($C20,'8. Activity Tracker'!$J$7:$J$93))*N('8. Activity Tracker'!AA$7:AA$93))),0))</f>
        <v/>
      </c>
      <c r="U20" s="67" t="str">
        <f aca="false">IF(7&gt;'7. IPTT'!$C$3,"",IFERROR((SUMPRODUCT(ISNUMBER(SEARCH($C20,'8. Activity Tracker'!$J$7:$J$93))*N('8. Activity Tracker'!V$7:V$93))+SUMPRODUCT(ISNUMBER(SEARCH($C20,'8. Activity Tracker'!$J$7:$J$93))*N('8. Activity Tracker'!W$7:W$93))+SUMPRODUCT(ISNUMBER(SEARCH($C20,'8. Activity Tracker'!$J$7:$J$93))*N('8. Activity Tracker'!X$7:X$93))+SUMPRODUCT(ISNUMBER(SEARCH($C20,'8. Activity Tracker'!$J$7:$J$93))*N('8. Activity Tracker'!Y$7:Y$93))+SUMPRODUCT(ISNUMBER(SEARCH($C20,'8. Activity Tracker'!$J$7:$J$93))*N('8. Activity Tracker'!Z$7:Z$93))+SUMPRODUCT(ISNUMBER(SEARCH($C20,'8. Activity Tracker'!$J$7:$J$93))*N('8. Activity Tracker'!AA$7:AA$93))+SUMPRODUCT(ISNUMBER(SEARCH($C20,'8. Activity Tracker'!$J$7:$J$93))*N('8. Activity Tracker'!AB$7:AB$93))),0))</f>
        <v/>
      </c>
      <c r="V20" s="67" t="str">
        <f aca="false">IF(8&gt;'7. IPTT'!$C$3,"",IFERROR((SUMPRODUCT(ISNUMBER(SEARCH($C20,'8. Activity Tracker'!$J$7:$J$93))*N('8. Activity Tracker'!V$7:V$93))+SUMPRODUCT(ISNUMBER(SEARCH($C20,'8. Activity Tracker'!$J$7:$J$93))*N('8. Activity Tracker'!W$7:W$93))+SUMPRODUCT(ISNUMBER(SEARCH($C20,'8. Activity Tracker'!$J$7:$J$93))*N('8. Activity Tracker'!X$7:X$93))+SUMPRODUCT(ISNUMBER(SEARCH($C20,'8. Activity Tracker'!$J$7:$J$93))*N('8. Activity Tracker'!Y$7:Y$93))+SUMPRODUCT(ISNUMBER(SEARCH($C20,'8. Activity Tracker'!$J$7:$J$93))*N('8. Activity Tracker'!Z$7:Z$93))+SUMPRODUCT(ISNUMBER(SEARCH($C20,'8. Activity Tracker'!$J$7:$J$93))*N('8. Activity Tracker'!AA$7:AA$93))+SUMPRODUCT(ISNUMBER(SEARCH($C20,'8. Activity Tracker'!$J$7:$J$93))*N('8. Activity Tracker'!AB$7:AB$93))+SUMPRODUCT(ISNUMBER(SEARCH($C20,'8. Activity Tracker'!$J$7:$J$93))*N('8. Activity Tracker'!AC$7:AC$93))),0))</f>
        <v/>
      </c>
      <c r="W20" s="68" t="n">
        <f aca="false">IFERROR(LOOKUP(2,1/(O20:V20&lt;&gt;""),O20:V20)/$M20,"")</f>
        <v>0</v>
      </c>
      <c r="X20" s="22" t="str">
        <f aca="false">IFERROR(IF(COUNT(O20:V20)=0,"No data yet",IF(LOOKUP(2,1/(O20:V20&lt;&gt;""),O20:V20)&gt;=INDEX(O9:V9,$C$3)*$M20,"On Track",IF(LOOKUP(2,1/(O20:V20&lt;&gt;""),O20:V20)&gt;=INDEX(O9:V9,$C$3)*$M20*0.85,"Slightly Behind","Behind"))),"")</f>
        <v>Behind</v>
      </c>
      <c r="Y20" s="16" t="s">
        <v>883</v>
      </c>
      <c r="Z20" s="16" t="s">
        <v>884</v>
      </c>
      <c r="AA20" s="16" t="s">
        <v>885</v>
      </c>
      <c r="AB20" s="22" t="s">
        <v>886</v>
      </c>
      <c r="AC20" s="16" t="s">
        <v>197</v>
      </c>
      <c r="AD20" s="16" t="s">
        <v>850</v>
      </c>
      <c r="AE20" s="16" t="s">
        <v>887</v>
      </c>
      <c r="AF20" s="16" t="str">
        <f aca="false">IFERROR("During the reporting period (cumulative through Q"&amp;'7. IPTT'!$C$3&amp;"), FIVDB reported "&amp;TEXT(LOOKUP(2,1/(O20:V20&lt;&gt;""),O20:V20),"#,##0")&amp;" against the indicator '"&amp;$F20&amp;"' - "&amp;TEXT($W20,"0%")&amp;" of the "&amp;TEXT($M20,"#,##0")&amp;" life-of-project target. "&amp;"Disaggregated: "&amp;TEXT($AH20,"#,##0")&amp;" girls (&lt;18), "&amp;TEXT($AI20,"#,##0")&amp;" boys (&lt;18), "&amp;TEXT($AJ20,"#,##0")&amp;" women (18+), "&amp;TEXT($AK20,"#,##0")&amp;" men (18+).","During the reporting period, FIVDB reported progress against this indicator - see Cumulative Actual to Date and % of LOP Target Achieved.")</f>
        <v>During the reporting period (cumulative through Q1), FIVDB reported 0 against the indicator 'Number of teachers/education personnel showing increased knowledge and teaching skills to address children's learning needs' - 0% of the 68 life-of-project target. Disaggregated: 0 girls (&lt;18), 0 boys (&lt;18), 0 women (18+), 0 men (18+).</v>
      </c>
      <c r="AG20" s="16" t="s">
        <v>888</v>
      </c>
      <c r="AH20" s="69" t="n">
        <f aca="false">IFERROR(SUMPRODUCT(ISNUMBER(SEARCH($C20,'10. Activity Data Log'!$AC$7:$AC$46))*(IFERROR(VALUE(MID('10. Activity Data Log'!$AD$7:$AD$46,2,1)),99)&lt;='7. IPTT'!$C$3)*N('10. Activity Data Log'!$O$7:$O$46))+SUMPRODUCT(ISNUMBER(SEARCH($C20,'11. Distribution Log'!$AH$7:$AH$46))*(IFERROR(VALUE(MID('11. Distribution Log'!$AI$7:$AI$46,2,1)),99)&lt;='7. IPTT'!$C$3)*N('11. Distribution Log'!$Q$7:$Q$46))+SUMPRODUCT(ISNUMBER(SEARCH($C20,'10. Activity Data Log'!$AC$7:$AC$46))*(IFERROR(VALUE(MID('10. Activity Data Log'!$AD$7:$AD$46,2,1)),99)&lt;='7. IPTT'!$C$3)*N('10. Activity Data Log'!$S$7:$S$46))+SUMPRODUCT(ISNUMBER(SEARCH($C20,'11. Distribution Log'!$AH$7:$AH$46))*(IFERROR(VALUE(MID('11. Distribution Log'!$AI$7:$AI$46,2,1)),99)&lt;='7. IPTT'!$C$3)*N('11. Distribution Log'!$U$7:$U$46)),0)</f>
        <v>0</v>
      </c>
      <c r="AI20" s="69" t="n">
        <f aca="false">IFERROR(SUMPRODUCT(ISNUMBER(SEARCH($C20,'10. Activity Data Log'!$AC$7:$AC$46))*(IFERROR(VALUE(MID('10. Activity Data Log'!$AD$7:$AD$46,2,1)),99)&lt;='7. IPTT'!$C$3)*N('10. Activity Data Log'!$M$7:$M$46))+SUMPRODUCT(ISNUMBER(SEARCH($C20,'11. Distribution Log'!$AH$7:$AH$46))*(IFERROR(VALUE(MID('11. Distribution Log'!$AI$7:$AI$46,2,1)),99)&lt;='7. IPTT'!$C$3)*N('11. Distribution Log'!$O$7:$O$46))+SUMPRODUCT(ISNUMBER(SEARCH($C20,'10. Activity Data Log'!$AC$7:$AC$46))*(IFERROR(VALUE(MID('10. Activity Data Log'!$AD$7:$AD$46,2,1)),99)&lt;='7. IPTT'!$C$3)*N('10. Activity Data Log'!$Q$7:$Q$46))+SUMPRODUCT(ISNUMBER(SEARCH($C20,'11. Distribution Log'!$AH$7:$AH$46))*(IFERROR(VALUE(MID('11. Distribution Log'!$AI$7:$AI$46,2,1)),99)&lt;='7. IPTT'!$C$3)*N('11. Distribution Log'!$S$7:$S$46)),0)</f>
        <v>0</v>
      </c>
      <c r="AJ20" s="69" t="n">
        <f aca="false">IFERROR(SUMPRODUCT(ISNUMBER(SEARCH($C20,'10. Activity Data Log'!$AC$7:$AC$46))*(IFERROR(VALUE(MID('10. Activity Data Log'!$AD$7:$AD$46,2,1)),99)&lt;='7. IPTT'!$C$3)*N('10. Activity Data Log'!$P$7:$P$46))+SUMPRODUCT(ISNUMBER(SEARCH($C20,'11. Distribution Log'!$AH$7:$AH$46))*(IFERROR(VALUE(MID('11. Distribution Log'!$AI$7:$AI$46,2,1)),99)&lt;='7. IPTT'!$C$3)*N('11. Distribution Log'!$R$7:$R$46))+SUMPRODUCT(ISNUMBER(SEARCH($C20,'10. Activity Data Log'!$AC$7:$AC$46))*(IFERROR(VALUE(MID('10. Activity Data Log'!$AD$7:$AD$46,2,1)),99)&lt;='7. IPTT'!$C$3)*N('10. Activity Data Log'!$T$7:$T$46))+SUMPRODUCT(ISNUMBER(SEARCH($C20,'11. Distribution Log'!$AH$7:$AH$46))*(IFERROR(VALUE(MID('11. Distribution Log'!$AI$7:$AI$46,2,1)),99)&lt;='7. IPTT'!$C$3)*N('11. Distribution Log'!$V$7:$V$46)),0)</f>
        <v>0</v>
      </c>
      <c r="AK20" s="69" t="n">
        <f aca="false">IFERROR(SUMPRODUCT(ISNUMBER(SEARCH($C20,'10. Activity Data Log'!$AC$7:$AC$46))*(IFERROR(VALUE(MID('10. Activity Data Log'!$AD$7:$AD$46,2,1)),99)&lt;='7. IPTT'!$C$3)*N('10. Activity Data Log'!$N$7:$N$46))+SUMPRODUCT(ISNUMBER(SEARCH($C20,'11. Distribution Log'!$AH$7:$AH$46))*(IFERROR(VALUE(MID('11. Distribution Log'!$AI$7:$AI$46,2,1)),99)&lt;='7. IPTT'!$C$3)*N('11. Distribution Log'!$P$7:$P$46))+SUMPRODUCT(ISNUMBER(SEARCH($C20,'10. Activity Data Log'!$AC$7:$AC$46))*(IFERROR(VALUE(MID('10. Activity Data Log'!$AD$7:$AD$46,2,1)),99)&lt;='7. IPTT'!$C$3)*N('10. Activity Data Log'!$R$7:$R$46))+SUMPRODUCT(ISNUMBER(SEARCH($C20,'11. Distribution Log'!$AH$7:$AH$46))*(IFERROR(VALUE(MID('11. Distribution Log'!$AI$7:$AI$46,2,1)),99)&lt;='7. IPTT'!$C$3)*N('11. Distribution Log'!$T$7:$T$46)),0)</f>
        <v>0</v>
      </c>
    </row>
    <row r="21" customFormat="false" ht="229.5" hidden="false" customHeight="true" outlineLevel="0" collapsed="false">
      <c r="B21" s="22" t="s">
        <v>825</v>
      </c>
      <c r="C21" s="22" t="s">
        <v>889</v>
      </c>
      <c r="D21" s="22" t="s">
        <v>654</v>
      </c>
      <c r="E21" s="16" t="s">
        <v>659</v>
      </c>
      <c r="F21" s="16" t="s">
        <v>756</v>
      </c>
      <c r="G21" s="16" t="s">
        <v>890</v>
      </c>
      <c r="H21" s="16" t="s">
        <v>891</v>
      </c>
      <c r="I21" s="16" t="s">
        <v>892</v>
      </c>
      <c r="J21" s="16" t="s">
        <v>893</v>
      </c>
      <c r="K21" s="22" t="n">
        <v>0</v>
      </c>
      <c r="L21" s="16" t="s">
        <v>543</v>
      </c>
      <c r="M21" s="22" t="n">
        <v>2516</v>
      </c>
      <c r="N21" s="22" t="s">
        <v>832</v>
      </c>
      <c r="O21" s="67" t="n">
        <f aca="false">IF(1&gt;'7. IPTT'!$C$3,"",IFERROR((SUMPRODUCT(ISNUMBER(SEARCH($C21,'8. Activity Tracker'!$J$7:$J$93))*N('8. Activity Tracker'!V$7:V$93))),0))</f>
        <v>0</v>
      </c>
      <c r="P21" s="67" t="str">
        <f aca="false">IF(2&gt;'7. IPTT'!$C$3,"",IFERROR((SUMPRODUCT(ISNUMBER(SEARCH($C21,'8. Activity Tracker'!$J$7:$J$93))*N('8. Activity Tracker'!V$7:V$93))+SUMPRODUCT(ISNUMBER(SEARCH($C21,'8. Activity Tracker'!$J$7:$J$93))*N('8. Activity Tracker'!W$7:W$93))),0))</f>
        <v/>
      </c>
      <c r="Q21" s="67" t="str">
        <f aca="false">IF(3&gt;'7. IPTT'!$C$3,"",IFERROR((SUMPRODUCT(ISNUMBER(SEARCH($C21,'8. Activity Tracker'!$J$7:$J$93))*N('8. Activity Tracker'!V$7:V$93))+SUMPRODUCT(ISNUMBER(SEARCH($C21,'8. Activity Tracker'!$J$7:$J$93))*N('8. Activity Tracker'!W$7:W$93))+SUMPRODUCT(ISNUMBER(SEARCH($C21,'8. Activity Tracker'!$J$7:$J$93))*N('8. Activity Tracker'!X$7:X$93))),0))</f>
        <v/>
      </c>
      <c r="R21" s="67" t="str">
        <f aca="false">IF(4&gt;'7. IPTT'!$C$3,"",IFERROR((SUMPRODUCT(ISNUMBER(SEARCH($C21,'8. Activity Tracker'!$J$7:$J$93))*N('8. Activity Tracker'!V$7:V$93))+SUMPRODUCT(ISNUMBER(SEARCH($C21,'8. Activity Tracker'!$J$7:$J$93))*N('8. Activity Tracker'!W$7:W$93))+SUMPRODUCT(ISNUMBER(SEARCH($C21,'8. Activity Tracker'!$J$7:$J$93))*N('8. Activity Tracker'!X$7:X$93))+SUMPRODUCT(ISNUMBER(SEARCH($C21,'8. Activity Tracker'!$J$7:$J$93))*N('8. Activity Tracker'!Y$7:Y$93))),0))</f>
        <v/>
      </c>
      <c r="S21" s="67" t="str">
        <f aca="false">IF(5&gt;'7. IPTT'!$C$3,"",IFERROR((SUMPRODUCT(ISNUMBER(SEARCH($C21,'8. Activity Tracker'!$J$7:$J$93))*N('8. Activity Tracker'!V$7:V$93))+SUMPRODUCT(ISNUMBER(SEARCH($C21,'8. Activity Tracker'!$J$7:$J$93))*N('8. Activity Tracker'!W$7:W$93))+SUMPRODUCT(ISNUMBER(SEARCH($C21,'8. Activity Tracker'!$J$7:$J$93))*N('8. Activity Tracker'!X$7:X$93))+SUMPRODUCT(ISNUMBER(SEARCH($C21,'8. Activity Tracker'!$J$7:$J$93))*N('8. Activity Tracker'!Y$7:Y$93))+SUMPRODUCT(ISNUMBER(SEARCH($C21,'8. Activity Tracker'!$J$7:$J$93))*N('8. Activity Tracker'!Z$7:Z$93))),0))</f>
        <v/>
      </c>
      <c r="T21" s="67" t="str">
        <f aca="false">IF(6&gt;'7. IPTT'!$C$3,"",IFERROR((SUMPRODUCT(ISNUMBER(SEARCH($C21,'8. Activity Tracker'!$J$7:$J$93))*N('8. Activity Tracker'!V$7:V$93))+SUMPRODUCT(ISNUMBER(SEARCH($C21,'8. Activity Tracker'!$J$7:$J$93))*N('8. Activity Tracker'!W$7:W$93))+SUMPRODUCT(ISNUMBER(SEARCH($C21,'8. Activity Tracker'!$J$7:$J$93))*N('8. Activity Tracker'!X$7:X$93))+SUMPRODUCT(ISNUMBER(SEARCH($C21,'8. Activity Tracker'!$J$7:$J$93))*N('8. Activity Tracker'!Y$7:Y$93))+SUMPRODUCT(ISNUMBER(SEARCH($C21,'8. Activity Tracker'!$J$7:$J$93))*N('8. Activity Tracker'!Z$7:Z$93))+SUMPRODUCT(ISNUMBER(SEARCH($C21,'8. Activity Tracker'!$J$7:$J$93))*N('8. Activity Tracker'!AA$7:AA$93))),0))</f>
        <v/>
      </c>
      <c r="U21" s="67" t="str">
        <f aca="false">IF(7&gt;'7. IPTT'!$C$3,"",IFERROR((SUMPRODUCT(ISNUMBER(SEARCH($C21,'8. Activity Tracker'!$J$7:$J$93))*N('8. Activity Tracker'!V$7:V$93))+SUMPRODUCT(ISNUMBER(SEARCH($C21,'8. Activity Tracker'!$J$7:$J$93))*N('8. Activity Tracker'!W$7:W$93))+SUMPRODUCT(ISNUMBER(SEARCH($C21,'8. Activity Tracker'!$J$7:$J$93))*N('8. Activity Tracker'!X$7:X$93))+SUMPRODUCT(ISNUMBER(SEARCH($C21,'8. Activity Tracker'!$J$7:$J$93))*N('8. Activity Tracker'!Y$7:Y$93))+SUMPRODUCT(ISNUMBER(SEARCH($C21,'8. Activity Tracker'!$J$7:$J$93))*N('8. Activity Tracker'!Z$7:Z$93))+SUMPRODUCT(ISNUMBER(SEARCH($C21,'8. Activity Tracker'!$J$7:$J$93))*N('8. Activity Tracker'!AA$7:AA$93))+SUMPRODUCT(ISNUMBER(SEARCH($C21,'8. Activity Tracker'!$J$7:$J$93))*N('8. Activity Tracker'!AB$7:AB$93))),0))</f>
        <v/>
      </c>
      <c r="V21" s="67" t="str">
        <f aca="false">IF(8&gt;'7. IPTT'!$C$3,"",IFERROR((SUMPRODUCT(ISNUMBER(SEARCH($C21,'8. Activity Tracker'!$J$7:$J$93))*N('8. Activity Tracker'!V$7:V$93))+SUMPRODUCT(ISNUMBER(SEARCH($C21,'8. Activity Tracker'!$J$7:$J$93))*N('8. Activity Tracker'!W$7:W$93))+SUMPRODUCT(ISNUMBER(SEARCH($C21,'8. Activity Tracker'!$J$7:$J$93))*N('8. Activity Tracker'!X$7:X$93))+SUMPRODUCT(ISNUMBER(SEARCH($C21,'8. Activity Tracker'!$J$7:$J$93))*N('8. Activity Tracker'!Y$7:Y$93))+SUMPRODUCT(ISNUMBER(SEARCH($C21,'8. Activity Tracker'!$J$7:$J$93))*N('8. Activity Tracker'!Z$7:Z$93))+SUMPRODUCT(ISNUMBER(SEARCH($C21,'8. Activity Tracker'!$J$7:$J$93))*N('8. Activity Tracker'!AA$7:AA$93))+SUMPRODUCT(ISNUMBER(SEARCH($C21,'8. Activity Tracker'!$J$7:$J$93))*N('8. Activity Tracker'!AB$7:AB$93))+SUMPRODUCT(ISNUMBER(SEARCH($C21,'8. Activity Tracker'!$J$7:$J$93))*N('8. Activity Tracker'!AC$7:AC$93))),0))</f>
        <v/>
      </c>
      <c r="W21" s="68" t="n">
        <f aca="false">IFERROR(LOOKUP(2,1/(O21:V21&lt;&gt;""),O21:V21)/$M21,"")</f>
        <v>0</v>
      </c>
      <c r="X21" s="22" t="str">
        <f aca="false">IFERROR(IF(COUNT(O21:V21)=0,"No data yet",IF(LOOKUP(2,1/(O21:V21&lt;&gt;""),O21:V21)&gt;=INDEX(O9:V9,$C$3)*$M21,"On Track",IF(LOOKUP(2,1/(O21:V21&lt;&gt;""),O21:V21)&gt;=INDEX(O9:V9,$C$3)*$M21*0.85,"Slightly Behind","Behind"))),"")</f>
        <v>Behind</v>
      </c>
      <c r="Y21" s="16" t="s">
        <v>894</v>
      </c>
      <c r="Z21" s="16" t="s">
        <v>895</v>
      </c>
      <c r="AA21" s="16" t="s">
        <v>896</v>
      </c>
      <c r="AB21" s="22" t="s">
        <v>897</v>
      </c>
      <c r="AC21" s="16" t="s">
        <v>181</v>
      </c>
      <c r="AD21" s="16" t="s">
        <v>837</v>
      </c>
      <c r="AE21" s="16" t="s">
        <v>898</v>
      </c>
      <c r="AF21" s="16" t="str">
        <f aca="false">IFERROR("During the reporting period (cumulative through Q"&amp;'7. IPTT'!$C$3&amp;"), FIVDB reported "&amp;TEXT(LOOKUP(2,1/(O21:V21&lt;&gt;""),O21:V21),"#,##0")&amp;" against the indicator '"&amp;$F21&amp;"' - "&amp;TEXT($W21,"0%")&amp;" of the "&amp;TEXT($M21,"#,##0")&amp;" life-of-project target. "&amp;"Disaggregated: "&amp;TEXT($AH21,"#,##0")&amp;" girls (&lt;18), "&amp;TEXT($AI21,"#,##0")&amp;" boys (&lt;18), "&amp;TEXT($AJ21,"#,##0")&amp;" women (18+), "&amp;TEXT($AK21,"#,##0")&amp;" men (18+).","During the reporting period, FIVDB reported progress against this indicator - see Cumulative Actual to Date and % of LOP Target Achieved.")</f>
        <v>During the reporting period (cumulative through Q1), FIVDB reported 0 against the indicator 'Number of students, teachers and other education personnel provided with psycho-social support services' - 0% of the 2,516 life-of-project target. Disaggregated: 0 girls (&lt;18), 0 boys (&lt;18), 0 women (18+), 0 men (18+).</v>
      </c>
      <c r="AG21" s="16" t="s">
        <v>899</v>
      </c>
      <c r="AH21" s="69" t="n">
        <f aca="false">IFERROR(SUMPRODUCT(ISNUMBER(SEARCH($C21,'10. Activity Data Log'!$AC$7:$AC$46))*(IFERROR(VALUE(MID('10. Activity Data Log'!$AD$7:$AD$46,2,1)),99)&lt;='7. IPTT'!$C$3)*N('10. Activity Data Log'!$O$7:$O$46))+SUMPRODUCT(ISNUMBER(SEARCH($C21,'11. Distribution Log'!$AH$7:$AH$46))*(IFERROR(VALUE(MID('11. Distribution Log'!$AI$7:$AI$46,2,1)),99)&lt;='7. IPTT'!$C$3)*N('11. Distribution Log'!$Q$7:$Q$46))+SUMPRODUCT(ISNUMBER(SEARCH($C21,'10. Activity Data Log'!$AC$7:$AC$46))*(IFERROR(VALUE(MID('10. Activity Data Log'!$AD$7:$AD$46,2,1)),99)&lt;='7. IPTT'!$C$3)*N('10. Activity Data Log'!$S$7:$S$46))+SUMPRODUCT(ISNUMBER(SEARCH($C21,'11. Distribution Log'!$AH$7:$AH$46))*(IFERROR(VALUE(MID('11. Distribution Log'!$AI$7:$AI$46,2,1)),99)&lt;='7. IPTT'!$C$3)*N('11. Distribution Log'!$U$7:$U$46)),0)</f>
        <v>0</v>
      </c>
      <c r="AI21" s="69" t="n">
        <f aca="false">IFERROR(SUMPRODUCT(ISNUMBER(SEARCH($C21,'10. Activity Data Log'!$AC$7:$AC$46))*(IFERROR(VALUE(MID('10. Activity Data Log'!$AD$7:$AD$46,2,1)),99)&lt;='7. IPTT'!$C$3)*N('10. Activity Data Log'!$M$7:$M$46))+SUMPRODUCT(ISNUMBER(SEARCH($C21,'11. Distribution Log'!$AH$7:$AH$46))*(IFERROR(VALUE(MID('11. Distribution Log'!$AI$7:$AI$46,2,1)),99)&lt;='7. IPTT'!$C$3)*N('11. Distribution Log'!$O$7:$O$46))+SUMPRODUCT(ISNUMBER(SEARCH($C21,'10. Activity Data Log'!$AC$7:$AC$46))*(IFERROR(VALUE(MID('10. Activity Data Log'!$AD$7:$AD$46,2,1)),99)&lt;='7. IPTT'!$C$3)*N('10. Activity Data Log'!$Q$7:$Q$46))+SUMPRODUCT(ISNUMBER(SEARCH($C21,'11. Distribution Log'!$AH$7:$AH$46))*(IFERROR(VALUE(MID('11. Distribution Log'!$AI$7:$AI$46,2,1)),99)&lt;='7. IPTT'!$C$3)*N('11. Distribution Log'!$S$7:$S$46)),0)</f>
        <v>0</v>
      </c>
      <c r="AJ21" s="69" t="n">
        <f aca="false">IFERROR(SUMPRODUCT(ISNUMBER(SEARCH($C21,'10. Activity Data Log'!$AC$7:$AC$46))*(IFERROR(VALUE(MID('10. Activity Data Log'!$AD$7:$AD$46,2,1)),99)&lt;='7. IPTT'!$C$3)*N('10. Activity Data Log'!$P$7:$P$46))+SUMPRODUCT(ISNUMBER(SEARCH($C21,'11. Distribution Log'!$AH$7:$AH$46))*(IFERROR(VALUE(MID('11. Distribution Log'!$AI$7:$AI$46,2,1)),99)&lt;='7. IPTT'!$C$3)*N('11. Distribution Log'!$R$7:$R$46))+SUMPRODUCT(ISNUMBER(SEARCH($C21,'10. Activity Data Log'!$AC$7:$AC$46))*(IFERROR(VALUE(MID('10. Activity Data Log'!$AD$7:$AD$46,2,1)),99)&lt;='7. IPTT'!$C$3)*N('10. Activity Data Log'!$T$7:$T$46))+SUMPRODUCT(ISNUMBER(SEARCH($C21,'11. Distribution Log'!$AH$7:$AH$46))*(IFERROR(VALUE(MID('11. Distribution Log'!$AI$7:$AI$46,2,1)),99)&lt;='7. IPTT'!$C$3)*N('11. Distribution Log'!$V$7:$V$46)),0)</f>
        <v>0</v>
      </c>
      <c r="AK21" s="69" t="n">
        <f aca="false">IFERROR(SUMPRODUCT(ISNUMBER(SEARCH($C21,'10. Activity Data Log'!$AC$7:$AC$46))*(IFERROR(VALUE(MID('10. Activity Data Log'!$AD$7:$AD$46,2,1)),99)&lt;='7. IPTT'!$C$3)*N('10. Activity Data Log'!$N$7:$N$46))+SUMPRODUCT(ISNUMBER(SEARCH($C21,'11. Distribution Log'!$AH$7:$AH$46))*(IFERROR(VALUE(MID('11. Distribution Log'!$AI$7:$AI$46,2,1)),99)&lt;='7. IPTT'!$C$3)*N('11. Distribution Log'!$P$7:$P$46))+SUMPRODUCT(ISNUMBER(SEARCH($C21,'10. Activity Data Log'!$AC$7:$AC$46))*(IFERROR(VALUE(MID('10. Activity Data Log'!$AD$7:$AD$46,2,1)),99)&lt;='7. IPTT'!$C$3)*N('10. Activity Data Log'!$R$7:$R$46))+SUMPRODUCT(ISNUMBER(SEARCH($C21,'11. Distribution Log'!$AH$7:$AH$46))*(IFERROR(VALUE(MID('11. Distribution Log'!$AI$7:$AI$46,2,1)),99)&lt;='7. IPTT'!$C$3)*N('11. Distribution Log'!$T$7:$T$46)),0)</f>
        <v>0</v>
      </c>
    </row>
    <row r="22" customFormat="false" ht="202.5" hidden="false" customHeight="true" outlineLevel="0" collapsed="false">
      <c r="B22" s="22" t="s">
        <v>825</v>
      </c>
      <c r="C22" s="22" t="s">
        <v>900</v>
      </c>
      <c r="D22" s="22" t="s">
        <v>635</v>
      </c>
      <c r="E22" s="16" t="s">
        <v>637</v>
      </c>
      <c r="F22" s="16" t="s">
        <v>901</v>
      </c>
      <c r="G22" s="16" t="s">
        <v>902</v>
      </c>
      <c r="H22" s="16" t="s">
        <v>903</v>
      </c>
      <c r="I22" s="16" t="s">
        <v>904</v>
      </c>
      <c r="J22" s="16" t="s">
        <v>905</v>
      </c>
      <c r="K22" s="22" t="n">
        <v>0</v>
      </c>
      <c r="L22" s="16" t="s">
        <v>882</v>
      </c>
      <c r="M22" s="22" t="n">
        <v>68</v>
      </c>
      <c r="N22" s="22" t="s">
        <v>832</v>
      </c>
      <c r="O22" s="67" t="n">
        <f aca="false">IF(1&gt;'7. IPTT'!$C$3,"",IFERROR((SUMPRODUCT(ISNUMBER(SEARCH($C22,'8. Activity Tracker'!$J$7:$J$93))*N('8. Activity Tracker'!V$7:V$93))),0))</f>
        <v>0</v>
      </c>
      <c r="P22" s="67" t="str">
        <f aca="false">IF(2&gt;'7. IPTT'!$C$3,"",IFERROR((SUMPRODUCT(ISNUMBER(SEARCH($C22,'8. Activity Tracker'!$J$7:$J$93))*N('8. Activity Tracker'!V$7:V$93))+SUMPRODUCT(ISNUMBER(SEARCH($C22,'8. Activity Tracker'!$J$7:$J$93))*N('8. Activity Tracker'!W$7:W$93))),0))</f>
        <v/>
      </c>
      <c r="Q22" s="67" t="str">
        <f aca="false">IF(3&gt;'7. IPTT'!$C$3,"",IFERROR((SUMPRODUCT(ISNUMBER(SEARCH($C22,'8. Activity Tracker'!$J$7:$J$93))*N('8. Activity Tracker'!V$7:V$93))+SUMPRODUCT(ISNUMBER(SEARCH($C22,'8. Activity Tracker'!$J$7:$J$93))*N('8. Activity Tracker'!W$7:W$93))+SUMPRODUCT(ISNUMBER(SEARCH($C22,'8. Activity Tracker'!$J$7:$J$93))*N('8. Activity Tracker'!X$7:X$93))),0))</f>
        <v/>
      </c>
      <c r="R22" s="67" t="str">
        <f aca="false">IF(4&gt;'7. IPTT'!$C$3,"",IFERROR((SUMPRODUCT(ISNUMBER(SEARCH($C22,'8. Activity Tracker'!$J$7:$J$93))*N('8. Activity Tracker'!V$7:V$93))+SUMPRODUCT(ISNUMBER(SEARCH($C22,'8. Activity Tracker'!$J$7:$J$93))*N('8. Activity Tracker'!W$7:W$93))+SUMPRODUCT(ISNUMBER(SEARCH($C22,'8. Activity Tracker'!$J$7:$J$93))*N('8. Activity Tracker'!X$7:X$93))+SUMPRODUCT(ISNUMBER(SEARCH($C22,'8. Activity Tracker'!$J$7:$J$93))*N('8. Activity Tracker'!Y$7:Y$93))),0))</f>
        <v/>
      </c>
      <c r="S22" s="67" t="str">
        <f aca="false">IF(5&gt;'7. IPTT'!$C$3,"",IFERROR((SUMPRODUCT(ISNUMBER(SEARCH($C22,'8. Activity Tracker'!$J$7:$J$93))*N('8. Activity Tracker'!V$7:V$93))+SUMPRODUCT(ISNUMBER(SEARCH($C22,'8. Activity Tracker'!$J$7:$J$93))*N('8. Activity Tracker'!W$7:W$93))+SUMPRODUCT(ISNUMBER(SEARCH($C22,'8. Activity Tracker'!$J$7:$J$93))*N('8. Activity Tracker'!X$7:X$93))+SUMPRODUCT(ISNUMBER(SEARCH($C22,'8. Activity Tracker'!$J$7:$J$93))*N('8. Activity Tracker'!Y$7:Y$93))+SUMPRODUCT(ISNUMBER(SEARCH($C22,'8. Activity Tracker'!$J$7:$J$93))*N('8. Activity Tracker'!Z$7:Z$93))),0))</f>
        <v/>
      </c>
      <c r="T22" s="67" t="str">
        <f aca="false">IF(6&gt;'7. IPTT'!$C$3,"",IFERROR((SUMPRODUCT(ISNUMBER(SEARCH($C22,'8. Activity Tracker'!$J$7:$J$93))*N('8. Activity Tracker'!V$7:V$93))+SUMPRODUCT(ISNUMBER(SEARCH($C22,'8. Activity Tracker'!$J$7:$J$93))*N('8. Activity Tracker'!W$7:W$93))+SUMPRODUCT(ISNUMBER(SEARCH($C22,'8. Activity Tracker'!$J$7:$J$93))*N('8. Activity Tracker'!X$7:X$93))+SUMPRODUCT(ISNUMBER(SEARCH($C22,'8. Activity Tracker'!$J$7:$J$93))*N('8. Activity Tracker'!Y$7:Y$93))+SUMPRODUCT(ISNUMBER(SEARCH($C22,'8. Activity Tracker'!$J$7:$J$93))*N('8. Activity Tracker'!Z$7:Z$93))+SUMPRODUCT(ISNUMBER(SEARCH($C22,'8. Activity Tracker'!$J$7:$J$93))*N('8. Activity Tracker'!AA$7:AA$93))),0))</f>
        <v/>
      </c>
      <c r="U22" s="67" t="str">
        <f aca="false">IF(7&gt;'7. IPTT'!$C$3,"",IFERROR((SUMPRODUCT(ISNUMBER(SEARCH($C22,'8. Activity Tracker'!$J$7:$J$93))*N('8. Activity Tracker'!V$7:V$93))+SUMPRODUCT(ISNUMBER(SEARCH($C22,'8. Activity Tracker'!$J$7:$J$93))*N('8. Activity Tracker'!W$7:W$93))+SUMPRODUCT(ISNUMBER(SEARCH($C22,'8. Activity Tracker'!$J$7:$J$93))*N('8. Activity Tracker'!X$7:X$93))+SUMPRODUCT(ISNUMBER(SEARCH($C22,'8. Activity Tracker'!$J$7:$J$93))*N('8. Activity Tracker'!Y$7:Y$93))+SUMPRODUCT(ISNUMBER(SEARCH($C22,'8. Activity Tracker'!$J$7:$J$93))*N('8. Activity Tracker'!Z$7:Z$93))+SUMPRODUCT(ISNUMBER(SEARCH($C22,'8. Activity Tracker'!$J$7:$J$93))*N('8. Activity Tracker'!AA$7:AA$93))+SUMPRODUCT(ISNUMBER(SEARCH($C22,'8. Activity Tracker'!$J$7:$J$93))*N('8. Activity Tracker'!AB$7:AB$93))),0))</f>
        <v/>
      </c>
      <c r="V22" s="67" t="str">
        <f aca="false">IF(8&gt;'7. IPTT'!$C$3,"",IFERROR((SUMPRODUCT(ISNUMBER(SEARCH($C22,'8. Activity Tracker'!$J$7:$J$93))*N('8. Activity Tracker'!V$7:V$93))+SUMPRODUCT(ISNUMBER(SEARCH($C22,'8. Activity Tracker'!$J$7:$J$93))*N('8. Activity Tracker'!W$7:W$93))+SUMPRODUCT(ISNUMBER(SEARCH($C22,'8. Activity Tracker'!$J$7:$J$93))*N('8. Activity Tracker'!X$7:X$93))+SUMPRODUCT(ISNUMBER(SEARCH($C22,'8. Activity Tracker'!$J$7:$J$93))*N('8. Activity Tracker'!Y$7:Y$93))+SUMPRODUCT(ISNUMBER(SEARCH($C22,'8. Activity Tracker'!$J$7:$J$93))*N('8. Activity Tracker'!Z$7:Z$93))+SUMPRODUCT(ISNUMBER(SEARCH($C22,'8. Activity Tracker'!$J$7:$J$93))*N('8. Activity Tracker'!AA$7:AA$93))+SUMPRODUCT(ISNUMBER(SEARCH($C22,'8. Activity Tracker'!$J$7:$J$93))*N('8. Activity Tracker'!AB$7:AB$93))+SUMPRODUCT(ISNUMBER(SEARCH($C22,'8. Activity Tracker'!$J$7:$J$93))*N('8. Activity Tracker'!AC$7:AC$93))),0))</f>
        <v/>
      </c>
      <c r="W22" s="68" t="n">
        <f aca="false">IFERROR(LOOKUP(2,1/(O22:V22&lt;&gt;""),O22:V22)/$M22,"")</f>
        <v>0</v>
      </c>
      <c r="X22" s="22" t="str">
        <f aca="false">IFERROR(IF(COUNT(O22:V22)=0,"No data yet",IF(LOOKUP(2,1/(O22:V22&lt;&gt;""),O22:V22)&gt;=INDEX(O9:V9,$C$3)*$M22,"On Track",IF(LOOKUP(2,1/(O22:V22&lt;&gt;""),O22:V22)&gt;=INDEX(O9:V9,$C$3)*$M22*0.85,"Slightly Behind","Behind"))),"")</f>
        <v>Behind</v>
      </c>
      <c r="Y22" s="16" t="s">
        <v>906</v>
      </c>
      <c r="Z22" s="16" t="s">
        <v>907</v>
      </c>
      <c r="AA22" s="16" t="s">
        <v>908</v>
      </c>
      <c r="AB22" s="22" t="s">
        <v>909</v>
      </c>
      <c r="AC22" s="16" t="s">
        <v>197</v>
      </c>
      <c r="AD22" s="16" t="s">
        <v>850</v>
      </c>
      <c r="AE22" s="16" t="s">
        <v>910</v>
      </c>
      <c r="AF22" s="16" t="str">
        <f aca="false">IFERROR("During the reporting period (cumulative through Q"&amp;'7. IPTT'!$C$3&amp;"), FIVDB reported "&amp;TEXT(LOOKUP(2,1/(O22:V22&lt;&gt;""),O22:V22),"#,##0")&amp;" against the indicator '"&amp;$F22&amp;"' - "&amp;TEXT($W22,"0%")&amp;" of the "&amp;TEXT($M22,"#,##0")&amp;" life-of-project target. "&amp;"Disaggregated: "&amp;TEXT($AH22,"#,##0")&amp;" girls (&lt;18), "&amp;TEXT($AI22,"#,##0")&amp;" boys (&lt;18), "&amp;TEXT($AJ22,"#,##0")&amp;" women (18+), "&amp;TEXT($AK22,"#,##0")&amp;" men (18+).","During the reporting period, FIVDB reported progress against this indicator - see Cumulative Actual to Date and % of LOP Target Achieved.")</f>
        <v>During the reporting period (cumulative through Q1), FIVDB reported 0 against the indicator 'Number of teachers and other education personnel showing increased knowledge and skills to address the protection needs of girls and boys' - 0% of the 68 life-of-project target. Disaggregated: 0 girls (&lt;18), 0 boys (&lt;18), 0 women (18+), 0 men (18+).</v>
      </c>
      <c r="AG22" s="16" t="s">
        <v>911</v>
      </c>
      <c r="AH22" s="69" t="n">
        <f aca="false">IFERROR(SUMPRODUCT(ISNUMBER(SEARCH($C22,'10. Activity Data Log'!$AC$7:$AC$46))*(IFERROR(VALUE(MID('10. Activity Data Log'!$AD$7:$AD$46,2,1)),99)&lt;='7. IPTT'!$C$3)*N('10. Activity Data Log'!$O$7:$O$46))+SUMPRODUCT(ISNUMBER(SEARCH($C22,'11. Distribution Log'!$AH$7:$AH$46))*(IFERROR(VALUE(MID('11. Distribution Log'!$AI$7:$AI$46,2,1)),99)&lt;='7. IPTT'!$C$3)*N('11. Distribution Log'!$Q$7:$Q$46))+SUMPRODUCT(ISNUMBER(SEARCH($C22,'10. Activity Data Log'!$AC$7:$AC$46))*(IFERROR(VALUE(MID('10. Activity Data Log'!$AD$7:$AD$46,2,1)),99)&lt;='7. IPTT'!$C$3)*N('10. Activity Data Log'!$S$7:$S$46))+SUMPRODUCT(ISNUMBER(SEARCH($C22,'11. Distribution Log'!$AH$7:$AH$46))*(IFERROR(VALUE(MID('11. Distribution Log'!$AI$7:$AI$46,2,1)),99)&lt;='7. IPTT'!$C$3)*N('11. Distribution Log'!$U$7:$U$46)),0)</f>
        <v>0</v>
      </c>
      <c r="AI22" s="69" t="n">
        <f aca="false">IFERROR(SUMPRODUCT(ISNUMBER(SEARCH($C22,'10. Activity Data Log'!$AC$7:$AC$46))*(IFERROR(VALUE(MID('10. Activity Data Log'!$AD$7:$AD$46,2,1)),99)&lt;='7. IPTT'!$C$3)*N('10. Activity Data Log'!$M$7:$M$46))+SUMPRODUCT(ISNUMBER(SEARCH($C22,'11. Distribution Log'!$AH$7:$AH$46))*(IFERROR(VALUE(MID('11. Distribution Log'!$AI$7:$AI$46,2,1)),99)&lt;='7. IPTT'!$C$3)*N('11. Distribution Log'!$O$7:$O$46))+SUMPRODUCT(ISNUMBER(SEARCH($C22,'10. Activity Data Log'!$AC$7:$AC$46))*(IFERROR(VALUE(MID('10. Activity Data Log'!$AD$7:$AD$46,2,1)),99)&lt;='7. IPTT'!$C$3)*N('10. Activity Data Log'!$Q$7:$Q$46))+SUMPRODUCT(ISNUMBER(SEARCH($C22,'11. Distribution Log'!$AH$7:$AH$46))*(IFERROR(VALUE(MID('11. Distribution Log'!$AI$7:$AI$46,2,1)),99)&lt;='7. IPTT'!$C$3)*N('11. Distribution Log'!$S$7:$S$46)),0)</f>
        <v>0</v>
      </c>
      <c r="AJ22" s="69" t="n">
        <f aca="false">IFERROR(SUMPRODUCT(ISNUMBER(SEARCH($C22,'10. Activity Data Log'!$AC$7:$AC$46))*(IFERROR(VALUE(MID('10. Activity Data Log'!$AD$7:$AD$46,2,1)),99)&lt;='7. IPTT'!$C$3)*N('10. Activity Data Log'!$P$7:$P$46))+SUMPRODUCT(ISNUMBER(SEARCH($C22,'11. Distribution Log'!$AH$7:$AH$46))*(IFERROR(VALUE(MID('11. Distribution Log'!$AI$7:$AI$46,2,1)),99)&lt;='7. IPTT'!$C$3)*N('11. Distribution Log'!$R$7:$R$46))+SUMPRODUCT(ISNUMBER(SEARCH($C22,'10. Activity Data Log'!$AC$7:$AC$46))*(IFERROR(VALUE(MID('10. Activity Data Log'!$AD$7:$AD$46,2,1)),99)&lt;='7. IPTT'!$C$3)*N('10. Activity Data Log'!$T$7:$T$46))+SUMPRODUCT(ISNUMBER(SEARCH($C22,'11. Distribution Log'!$AH$7:$AH$46))*(IFERROR(VALUE(MID('11. Distribution Log'!$AI$7:$AI$46,2,1)),99)&lt;='7. IPTT'!$C$3)*N('11. Distribution Log'!$V$7:$V$46)),0)</f>
        <v>0</v>
      </c>
      <c r="AK22" s="69" t="n">
        <f aca="false">IFERROR(SUMPRODUCT(ISNUMBER(SEARCH($C22,'10. Activity Data Log'!$AC$7:$AC$46))*(IFERROR(VALUE(MID('10. Activity Data Log'!$AD$7:$AD$46,2,1)),99)&lt;='7. IPTT'!$C$3)*N('10. Activity Data Log'!$N$7:$N$46))+SUMPRODUCT(ISNUMBER(SEARCH($C22,'11. Distribution Log'!$AH$7:$AH$46))*(IFERROR(VALUE(MID('11. Distribution Log'!$AI$7:$AI$46,2,1)),99)&lt;='7. IPTT'!$C$3)*N('11. Distribution Log'!$P$7:$P$46))+SUMPRODUCT(ISNUMBER(SEARCH($C22,'10. Activity Data Log'!$AC$7:$AC$46))*(IFERROR(VALUE(MID('10. Activity Data Log'!$AD$7:$AD$46,2,1)),99)&lt;='7. IPTT'!$C$3)*N('10. Activity Data Log'!$R$7:$R$46))+SUMPRODUCT(ISNUMBER(SEARCH($C22,'11. Distribution Log'!$AH$7:$AH$46))*(IFERROR(VALUE(MID('11. Distribution Log'!$AI$7:$AI$46,2,1)),99)&lt;='7. IPTT'!$C$3)*N('11. Distribution Log'!$T$7:$T$46)),0)</f>
        <v>0</v>
      </c>
    </row>
    <row r="23" customFormat="false" ht="229.5" hidden="false" customHeight="true" outlineLevel="0" collapsed="false">
      <c r="B23" s="22" t="s">
        <v>825</v>
      </c>
      <c r="C23" s="22" t="s">
        <v>912</v>
      </c>
      <c r="D23" s="22" t="s">
        <v>913</v>
      </c>
      <c r="E23" s="16"/>
      <c r="F23" s="16" t="s">
        <v>914</v>
      </c>
      <c r="G23" s="16" t="s">
        <v>915</v>
      </c>
      <c r="H23" s="16" t="s">
        <v>916</v>
      </c>
      <c r="I23" s="16" t="s">
        <v>917</v>
      </c>
      <c r="J23" s="16" t="s">
        <v>831</v>
      </c>
      <c r="K23" s="22" t="n">
        <v>0</v>
      </c>
      <c r="L23" s="16" t="s">
        <v>543</v>
      </c>
      <c r="M23" s="22" t="n">
        <v>122</v>
      </c>
      <c r="N23" s="22" t="s">
        <v>832</v>
      </c>
      <c r="O23" s="67" t="n">
        <f aca="false">IF(1&gt;'7. IPTT'!$C$3,"",IFERROR((SUMPRODUCT(ISNUMBER(SEARCH($C23,'8. Activity Tracker'!$J$7:$J$93))*N('8. Activity Tracker'!V$7:V$93))),0))</f>
        <v>0</v>
      </c>
      <c r="P23" s="67" t="str">
        <f aca="false">IF(2&gt;'7. IPTT'!$C$3,"",IFERROR((SUMPRODUCT(ISNUMBER(SEARCH($C23,'8. Activity Tracker'!$J$7:$J$93))*N('8. Activity Tracker'!V$7:V$93))+SUMPRODUCT(ISNUMBER(SEARCH($C23,'8. Activity Tracker'!$J$7:$J$93))*N('8. Activity Tracker'!W$7:W$93))),0))</f>
        <v/>
      </c>
      <c r="Q23" s="67" t="str">
        <f aca="false">IF(3&gt;'7. IPTT'!$C$3,"",IFERROR((SUMPRODUCT(ISNUMBER(SEARCH($C23,'8. Activity Tracker'!$J$7:$J$93))*N('8. Activity Tracker'!V$7:V$93))+SUMPRODUCT(ISNUMBER(SEARCH($C23,'8. Activity Tracker'!$J$7:$J$93))*N('8. Activity Tracker'!W$7:W$93))+SUMPRODUCT(ISNUMBER(SEARCH($C23,'8. Activity Tracker'!$J$7:$J$93))*N('8. Activity Tracker'!X$7:X$93))),0))</f>
        <v/>
      </c>
      <c r="R23" s="67" t="str">
        <f aca="false">IF(4&gt;'7. IPTT'!$C$3,"",IFERROR((SUMPRODUCT(ISNUMBER(SEARCH($C23,'8. Activity Tracker'!$J$7:$J$93))*N('8. Activity Tracker'!V$7:V$93))+SUMPRODUCT(ISNUMBER(SEARCH($C23,'8. Activity Tracker'!$J$7:$J$93))*N('8. Activity Tracker'!W$7:W$93))+SUMPRODUCT(ISNUMBER(SEARCH($C23,'8. Activity Tracker'!$J$7:$J$93))*N('8. Activity Tracker'!X$7:X$93))+SUMPRODUCT(ISNUMBER(SEARCH($C23,'8. Activity Tracker'!$J$7:$J$93))*N('8. Activity Tracker'!Y$7:Y$93))),0))</f>
        <v/>
      </c>
      <c r="S23" s="67" t="str">
        <f aca="false">IF(5&gt;'7. IPTT'!$C$3,"",IFERROR((SUMPRODUCT(ISNUMBER(SEARCH($C23,'8. Activity Tracker'!$J$7:$J$93))*N('8. Activity Tracker'!V$7:V$93))+SUMPRODUCT(ISNUMBER(SEARCH($C23,'8. Activity Tracker'!$J$7:$J$93))*N('8. Activity Tracker'!W$7:W$93))+SUMPRODUCT(ISNUMBER(SEARCH($C23,'8. Activity Tracker'!$J$7:$J$93))*N('8. Activity Tracker'!X$7:X$93))+SUMPRODUCT(ISNUMBER(SEARCH($C23,'8. Activity Tracker'!$J$7:$J$93))*N('8. Activity Tracker'!Y$7:Y$93))+SUMPRODUCT(ISNUMBER(SEARCH($C23,'8. Activity Tracker'!$J$7:$J$93))*N('8. Activity Tracker'!Z$7:Z$93))),0))</f>
        <v/>
      </c>
      <c r="T23" s="67" t="str">
        <f aca="false">IF(6&gt;'7. IPTT'!$C$3,"",IFERROR((SUMPRODUCT(ISNUMBER(SEARCH($C23,'8. Activity Tracker'!$J$7:$J$93))*N('8. Activity Tracker'!V$7:V$93))+SUMPRODUCT(ISNUMBER(SEARCH($C23,'8. Activity Tracker'!$J$7:$J$93))*N('8. Activity Tracker'!W$7:W$93))+SUMPRODUCT(ISNUMBER(SEARCH($C23,'8. Activity Tracker'!$J$7:$J$93))*N('8. Activity Tracker'!X$7:X$93))+SUMPRODUCT(ISNUMBER(SEARCH($C23,'8. Activity Tracker'!$J$7:$J$93))*N('8. Activity Tracker'!Y$7:Y$93))+SUMPRODUCT(ISNUMBER(SEARCH($C23,'8. Activity Tracker'!$J$7:$J$93))*N('8. Activity Tracker'!Z$7:Z$93))+SUMPRODUCT(ISNUMBER(SEARCH($C23,'8. Activity Tracker'!$J$7:$J$93))*N('8. Activity Tracker'!AA$7:AA$93))),0))</f>
        <v/>
      </c>
      <c r="U23" s="67" t="str">
        <f aca="false">IF(7&gt;'7. IPTT'!$C$3,"",IFERROR((SUMPRODUCT(ISNUMBER(SEARCH($C23,'8. Activity Tracker'!$J$7:$J$93))*N('8. Activity Tracker'!V$7:V$93))+SUMPRODUCT(ISNUMBER(SEARCH($C23,'8. Activity Tracker'!$J$7:$J$93))*N('8. Activity Tracker'!W$7:W$93))+SUMPRODUCT(ISNUMBER(SEARCH($C23,'8. Activity Tracker'!$J$7:$J$93))*N('8. Activity Tracker'!X$7:X$93))+SUMPRODUCT(ISNUMBER(SEARCH($C23,'8. Activity Tracker'!$J$7:$J$93))*N('8. Activity Tracker'!Y$7:Y$93))+SUMPRODUCT(ISNUMBER(SEARCH($C23,'8. Activity Tracker'!$J$7:$J$93))*N('8. Activity Tracker'!Z$7:Z$93))+SUMPRODUCT(ISNUMBER(SEARCH($C23,'8. Activity Tracker'!$J$7:$J$93))*N('8. Activity Tracker'!AA$7:AA$93))+SUMPRODUCT(ISNUMBER(SEARCH($C23,'8. Activity Tracker'!$J$7:$J$93))*N('8. Activity Tracker'!AB$7:AB$93))),0))</f>
        <v/>
      </c>
      <c r="V23" s="67" t="str">
        <f aca="false">IF(8&gt;'7. IPTT'!$C$3,"",IFERROR((SUMPRODUCT(ISNUMBER(SEARCH($C23,'8. Activity Tracker'!$J$7:$J$93))*N('8. Activity Tracker'!V$7:V$93))+SUMPRODUCT(ISNUMBER(SEARCH($C23,'8. Activity Tracker'!$J$7:$J$93))*N('8. Activity Tracker'!W$7:W$93))+SUMPRODUCT(ISNUMBER(SEARCH($C23,'8. Activity Tracker'!$J$7:$J$93))*N('8. Activity Tracker'!X$7:X$93))+SUMPRODUCT(ISNUMBER(SEARCH($C23,'8. Activity Tracker'!$J$7:$J$93))*N('8. Activity Tracker'!Y$7:Y$93))+SUMPRODUCT(ISNUMBER(SEARCH($C23,'8. Activity Tracker'!$J$7:$J$93))*N('8. Activity Tracker'!Z$7:Z$93))+SUMPRODUCT(ISNUMBER(SEARCH($C23,'8. Activity Tracker'!$J$7:$J$93))*N('8. Activity Tracker'!AA$7:AA$93))+SUMPRODUCT(ISNUMBER(SEARCH($C23,'8. Activity Tracker'!$J$7:$J$93))*N('8. Activity Tracker'!AB$7:AB$93))+SUMPRODUCT(ISNUMBER(SEARCH($C23,'8. Activity Tracker'!$J$7:$J$93))*N('8. Activity Tracker'!AC$7:AC$93))),0))</f>
        <v/>
      </c>
      <c r="W23" s="68" t="n">
        <f aca="false">IFERROR(LOOKUP(2,1/(O23:V23&lt;&gt;""),O23:V23)/$M23,"")</f>
        <v>0</v>
      </c>
      <c r="X23" s="22" t="str">
        <f aca="false">IFERROR(IF(COUNT(O23:V23)=0,"No data yet",IF(LOOKUP(2,1/(O23:V23&lt;&gt;""),O23:V23)&gt;=INDEX(O9:V9,$C$3)*$M23,"On Track",IF(LOOKUP(2,1/(O23:V23&lt;&gt;""),O23:V23)&gt;=INDEX(O9:V9,$C$3)*$M23*0.85,"Slightly Behind","Behind"))),"")</f>
        <v>Behind</v>
      </c>
      <c r="Y23" s="16" t="s">
        <v>918</v>
      </c>
      <c r="Z23" s="16" t="s">
        <v>919</v>
      </c>
      <c r="AA23" s="16" t="s">
        <v>920</v>
      </c>
      <c r="AB23" s="22" t="s">
        <v>921</v>
      </c>
      <c r="AC23" s="16" t="s">
        <v>181</v>
      </c>
      <c r="AD23" s="16" t="s">
        <v>837</v>
      </c>
      <c r="AE23" s="16" t="s">
        <v>922</v>
      </c>
      <c r="AF23" s="16" t="str">
        <f aca="false">IFERROR("During the reporting period (cumulative through Q"&amp;'7. IPTT'!$C$3&amp;"), FIVDB reported "&amp;TEXT(LOOKUP(2,1/(O23:V23&lt;&gt;""),O23:V23),"#,##0")&amp;" against the indicator '"&amp;$F23&amp;"' - "&amp;TEXT($W23,"0%")&amp;" of the "&amp;TEXT($M23,"#,##0")&amp;" life-of-project target. "&amp;"Disaggregated: "&amp;TEXT($AH23,"#,##0")&amp;" girls (&lt;18), "&amp;TEXT($AI23,"#,##0")&amp;" boys (&lt;18), "&amp;TEXT($AJ23,"#,##0")&amp;" women (18+), "&amp;TEXT($AK23,"#,##0")&amp;" men (18+).","During the reporting period, FIVDB reported progress against this indicator - see Cumulative Actual to Date and % of LOP Target Achieved.")</f>
        <v>During the reporting period (cumulative through Q1), FIVDB reported 0 against the indicator 'Number of girls and boys referred to specialised services (e.g. child protection, health, MHPSS)' - 0% of the 122 life-of-project target. Disaggregated: 0 girls (&lt;18), 0 boys (&lt;18), 0 women (18+), 0 men (18+).</v>
      </c>
      <c r="AG23" s="16" t="s">
        <v>923</v>
      </c>
      <c r="AH23" s="69" t="n">
        <f aca="false">IFERROR(SUMPRODUCT(ISNUMBER(SEARCH($C23,'10. Activity Data Log'!$AC$7:$AC$46))*(IFERROR(VALUE(MID('10. Activity Data Log'!$AD$7:$AD$46,2,1)),99)&lt;='7. IPTT'!$C$3)*N('10. Activity Data Log'!$O$7:$O$46))+SUMPRODUCT(ISNUMBER(SEARCH($C23,'11. Distribution Log'!$AH$7:$AH$46))*(IFERROR(VALUE(MID('11. Distribution Log'!$AI$7:$AI$46,2,1)),99)&lt;='7. IPTT'!$C$3)*N('11. Distribution Log'!$Q$7:$Q$46))+SUMPRODUCT(ISNUMBER(SEARCH($C23,'10. Activity Data Log'!$AC$7:$AC$46))*(IFERROR(VALUE(MID('10. Activity Data Log'!$AD$7:$AD$46,2,1)),99)&lt;='7. IPTT'!$C$3)*N('10. Activity Data Log'!$S$7:$S$46))+SUMPRODUCT(ISNUMBER(SEARCH($C23,'11. Distribution Log'!$AH$7:$AH$46))*(IFERROR(VALUE(MID('11. Distribution Log'!$AI$7:$AI$46,2,1)),99)&lt;='7. IPTT'!$C$3)*N('11. Distribution Log'!$U$7:$U$46)),0)</f>
        <v>0</v>
      </c>
      <c r="AI23" s="69" t="n">
        <f aca="false">IFERROR(SUMPRODUCT(ISNUMBER(SEARCH($C23,'10. Activity Data Log'!$AC$7:$AC$46))*(IFERROR(VALUE(MID('10. Activity Data Log'!$AD$7:$AD$46,2,1)),99)&lt;='7. IPTT'!$C$3)*N('10. Activity Data Log'!$M$7:$M$46))+SUMPRODUCT(ISNUMBER(SEARCH($C23,'11. Distribution Log'!$AH$7:$AH$46))*(IFERROR(VALUE(MID('11. Distribution Log'!$AI$7:$AI$46,2,1)),99)&lt;='7. IPTT'!$C$3)*N('11. Distribution Log'!$O$7:$O$46))+SUMPRODUCT(ISNUMBER(SEARCH($C23,'10. Activity Data Log'!$AC$7:$AC$46))*(IFERROR(VALUE(MID('10. Activity Data Log'!$AD$7:$AD$46,2,1)),99)&lt;='7. IPTT'!$C$3)*N('10. Activity Data Log'!$Q$7:$Q$46))+SUMPRODUCT(ISNUMBER(SEARCH($C23,'11. Distribution Log'!$AH$7:$AH$46))*(IFERROR(VALUE(MID('11. Distribution Log'!$AI$7:$AI$46,2,1)),99)&lt;='7. IPTT'!$C$3)*N('11. Distribution Log'!$S$7:$S$46)),0)</f>
        <v>0</v>
      </c>
      <c r="AJ23" s="69" t="n">
        <f aca="false">IFERROR(SUMPRODUCT(ISNUMBER(SEARCH($C23,'10. Activity Data Log'!$AC$7:$AC$46))*(IFERROR(VALUE(MID('10. Activity Data Log'!$AD$7:$AD$46,2,1)),99)&lt;='7. IPTT'!$C$3)*N('10. Activity Data Log'!$P$7:$P$46))+SUMPRODUCT(ISNUMBER(SEARCH($C23,'11. Distribution Log'!$AH$7:$AH$46))*(IFERROR(VALUE(MID('11. Distribution Log'!$AI$7:$AI$46,2,1)),99)&lt;='7. IPTT'!$C$3)*N('11. Distribution Log'!$R$7:$R$46))+SUMPRODUCT(ISNUMBER(SEARCH($C23,'10. Activity Data Log'!$AC$7:$AC$46))*(IFERROR(VALUE(MID('10. Activity Data Log'!$AD$7:$AD$46,2,1)),99)&lt;='7. IPTT'!$C$3)*N('10. Activity Data Log'!$T$7:$T$46))+SUMPRODUCT(ISNUMBER(SEARCH($C23,'11. Distribution Log'!$AH$7:$AH$46))*(IFERROR(VALUE(MID('11. Distribution Log'!$AI$7:$AI$46,2,1)),99)&lt;='7. IPTT'!$C$3)*N('11. Distribution Log'!$V$7:$V$46)),0)</f>
        <v>0</v>
      </c>
      <c r="AK23" s="69" t="n">
        <f aca="false">IFERROR(SUMPRODUCT(ISNUMBER(SEARCH($C23,'10. Activity Data Log'!$AC$7:$AC$46))*(IFERROR(VALUE(MID('10. Activity Data Log'!$AD$7:$AD$46,2,1)),99)&lt;='7. IPTT'!$C$3)*N('10. Activity Data Log'!$N$7:$N$46))+SUMPRODUCT(ISNUMBER(SEARCH($C23,'11. Distribution Log'!$AH$7:$AH$46))*(IFERROR(VALUE(MID('11. Distribution Log'!$AI$7:$AI$46,2,1)),99)&lt;='7. IPTT'!$C$3)*N('11. Distribution Log'!$P$7:$P$46))+SUMPRODUCT(ISNUMBER(SEARCH($C23,'10. Activity Data Log'!$AC$7:$AC$46))*(IFERROR(VALUE(MID('10. Activity Data Log'!$AD$7:$AD$46,2,1)),99)&lt;='7. IPTT'!$C$3)*N('10. Activity Data Log'!$R$7:$R$46))+SUMPRODUCT(ISNUMBER(SEARCH($C23,'11. Distribution Log'!$AH$7:$AH$46))*(IFERROR(VALUE(MID('11. Distribution Log'!$AI$7:$AI$46,2,1)),99)&lt;='7. IPTT'!$C$3)*N('11. Distribution Log'!$T$7:$T$46)),0)</f>
        <v>0</v>
      </c>
    </row>
    <row r="24" customFormat="false" ht="189.75" hidden="false" customHeight="true" outlineLevel="0" collapsed="false">
      <c r="B24" s="22" t="s">
        <v>825</v>
      </c>
      <c r="C24" s="22" t="s">
        <v>924</v>
      </c>
      <c r="D24" s="22" t="s">
        <v>925</v>
      </c>
      <c r="E24" s="16"/>
      <c r="F24" s="16" t="s">
        <v>926</v>
      </c>
      <c r="G24" s="16" t="s">
        <v>927</v>
      </c>
      <c r="H24" s="16" t="s">
        <v>928</v>
      </c>
      <c r="I24" s="16" t="s">
        <v>929</v>
      </c>
      <c r="J24" s="16" t="s">
        <v>845</v>
      </c>
      <c r="K24" s="68" t="n">
        <v>0</v>
      </c>
      <c r="L24" s="16" t="s">
        <v>930</v>
      </c>
      <c r="M24" s="68" t="n">
        <v>0.65</v>
      </c>
      <c r="N24" s="22" t="s">
        <v>931</v>
      </c>
      <c r="O24" s="70"/>
      <c r="P24" s="70"/>
      <c r="Q24" s="70"/>
      <c r="R24" s="70"/>
      <c r="S24" s="70"/>
      <c r="T24" s="70"/>
      <c r="U24" s="70"/>
      <c r="V24" s="70"/>
      <c r="W24" s="68" t="str">
        <f aca="false">IFERROR(LOOKUP(2,1/(O24:V24&lt;&gt;""),O24:V24)/$M24,"")</f>
        <v/>
      </c>
      <c r="X24" s="22" t="str">
        <f aca="false">IFERROR(IF(COUNT(O24:V24)=0,"No data yet",IF(LOOKUP(2,1/(O24:V24&lt;&gt;""),O24:V24)&gt;=INDEX(O9:V9,$C$3),"On Track",IF(LOOKUP(2,1/(O24:V24&lt;&gt;""),O24:V24)&gt;=INDEX(O9:V9,$C$3)*0.85,"Slightly Behind","Behind"))),"")</f>
        <v>No data yet</v>
      </c>
      <c r="Y24" s="16" t="s">
        <v>932</v>
      </c>
      <c r="Z24" s="16" t="s">
        <v>933</v>
      </c>
      <c r="AA24" s="16" t="s">
        <v>934</v>
      </c>
      <c r="AB24" s="22" t="s">
        <v>935</v>
      </c>
      <c r="AC24" s="16" t="s">
        <v>197</v>
      </c>
      <c r="AD24" s="16" t="s">
        <v>850</v>
      </c>
      <c r="AE24" s="16" t="s">
        <v>936</v>
      </c>
      <c r="AF24" s="16" t="s">
        <v>937</v>
      </c>
      <c r="AG24" s="16" t="s">
        <v>938</v>
      </c>
      <c r="AH24" s="69" t="s">
        <v>939</v>
      </c>
      <c r="AI24" s="69" t="s">
        <v>939</v>
      </c>
      <c r="AJ24" s="69" t="s">
        <v>939</v>
      </c>
      <c r="AK24" s="69" t="s">
        <v>939</v>
      </c>
    </row>
    <row r="25" customFormat="false" ht="19.5" hidden="false" customHeight="true" outlineLevel="0" collapsed="false">
      <c r="B25" s="66" t="s">
        <v>940</v>
      </c>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row>
    <row r="26" customFormat="false" ht="229.5" hidden="false" customHeight="true" outlineLevel="0" collapsed="false">
      <c r="B26" s="22" t="s">
        <v>941</v>
      </c>
      <c r="C26" s="22" t="s">
        <v>942</v>
      </c>
      <c r="D26" s="22" t="s">
        <v>668</v>
      </c>
      <c r="E26" s="16" t="s">
        <v>943</v>
      </c>
      <c r="F26" s="16" t="s">
        <v>944</v>
      </c>
      <c r="G26" s="16" t="s">
        <v>945</v>
      </c>
      <c r="H26" s="16" t="s">
        <v>946</v>
      </c>
      <c r="I26" s="16" t="s">
        <v>947</v>
      </c>
      <c r="J26" s="16" t="s">
        <v>948</v>
      </c>
      <c r="K26" s="68" t="n">
        <v>0</v>
      </c>
      <c r="L26" s="16" t="s">
        <v>949</v>
      </c>
      <c r="M26" s="68" t="n">
        <v>0.95</v>
      </c>
      <c r="N26" s="22" t="s">
        <v>931</v>
      </c>
      <c r="O26" s="70"/>
      <c r="P26" s="70"/>
      <c r="Q26" s="70"/>
      <c r="R26" s="70"/>
      <c r="S26" s="70"/>
      <c r="T26" s="70"/>
      <c r="U26" s="70"/>
      <c r="V26" s="70"/>
      <c r="W26" s="68" t="str">
        <f aca="false">IFERROR(LOOKUP(2,1/(O26:V26&lt;&gt;""),O26:V26)/$M26,"")</f>
        <v/>
      </c>
      <c r="X26" s="22" t="str">
        <f aca="false">IFERROR(IF(COUNT(O26:V26)=0,"No data yet",IF(LOOKUP(2,1/(O26:V26&lt;&gt;""),O26:V26)&gt;=INDEX(O9:V9,$C$3),"On Track",IF(LOOKUP(2,1/(O26:V26&lt;&gt;""),O26:V26)&gt;=INDEX(O9:V9,$C$3)*0.85,"Slightly Behind","Behind"))),"")</f>
        <v>No data yet</v>
      </c>
      <c r="Y26" s="16" t="s">
        <v>950</v>
      </c>
      <c r="Z26" s="16" t="s">
        <v>951</v>
      </c>
      <c r="AA26" s="16" t="s">
        <v>952</v>
      </c>
      <c r="AB26" s="22" t="s">
        <v>953</v>
      </c>
      <c r="AC26" s="16" t="s">
        <v>649</v>
      </c>
      <c r="AD26" s="16" t="s">
        <v>954</v>
      </c>
      <c r="AE26" s="16" t="s">
        <v>955</v>
      </c>
      <c r="AF26" s="16" t="s">
        <v>956</v>
      </c>
      <c r="AG26" s="16" t="s">
        <v>957</v>
      </c>
      <c r="AH26" s="69" t="s">
        <v>939</v>
      </c>
      <c r="AI26" s="69" t="s">
        <v>939</v>
      </c>
      <c r="AJ26" s="69" t="s">
        <v>939</v>
      </c>
      <c r="AK26" s="69" t="s">
        <v>939</v>
      </c>
    </row>
    <row r="27" customFormat="false" ht="163.5" hidden="false" customHeight="true" outlineLevel="0" collapsed="false">
      <c r="B27" s="22" t="s">
        <v>941</v>
      </c>
      <c r="C27" s="22" t="s">
        <v>958</v>
      </c>
      <c r="D27" s="22" t="s">
        <v>666</v>
      </c>
      <c r="E27" s="16" t="s">
        <v>543</v>
      </c>
      <c r="F27" s="16" t="s">
        <v>959</v>
      </c>
      <c r="G27" s="16" t="s">
        <v>960</v>
      </c>
      <c r="H27" s="16" t="s">
        <v>961</v>
      </c>
      <c r="I27" s="16" t="s">
        <v>962</v>
      </c>
      <c r="J27" s="16" t="s">
        <v>963</v>
      </c>
      <c r="K27" s="68" t="n">
        <v>0</v>
      </c>
      <c r="L27" s="16" t="s">
        <v>964</v>
      </c>
      <c r="M27" s="68" t="n">
        <v>0.8</v>
      </c>
      <c r="N27" s="22" t="s">
        <v>931</v>
      </c>
      <c r="O27" s="70"/>
      <c r="P27" s="70"/>
      <c r="Q27" s="70"/>
      <c r="R27" s="70"/>
      <c r="S27" s="70"/>
      <c r="T27" s="70"/>
      <c r="U27" s="70"/>
      <c r="V27" s="70"/>
      <c r="W27" s="68" t="str">
        <f aca="false">IFERROR(LOOKUP(2,1/(O27:V27&lt;&gt;""),O27:V27)/$M27,"")</f>
        <v/>
      </c>
      <c r="X27" s="22" t="str">
        <f aca="false">IFERROR(IF(COUNT(O27:V27)=0,"No data yet",IF(LOOKUP(2,1/(O27:V27&lt;&gt;""),O27:V27)&gt;=INDEX(O9:V9,$C$3),"On Track",IF(LOOKUP(2,1/(O27:V27&lt;&gt;""),O27:V27)&gt;=INDEX(O9:V9,$C$3)*0.85,"Slightly Behind","Behind"))),"")</f>
        <v>No data yet</v>
      </c>
      <c r="Y27" s="16" t="s">
        <v>965</v>
      </c>
      <c r="Z27" s="16" t="s">
        <v>966</v>
      </c>
      <c r="AA27" s="16" t="s">
        <v>967</v>
      </c>
      <c r="AB27" s="22" t="s">
        <v>968</v>
      </c>
      <c r="AC27" s="16" t="s">
        <v>649</v>
      </c>
      <c r="AD27" s="16" t="s">
        <v>954</v>
      </c>
      <c r="AE27" s="16" t="s">
        <v>969</v>
      </c>
      <c r="AF27" s="16" t="s">
        <v>970</v>
      </c>
      <c r="AG27" s="16" t="s">
        <v>971</v>
      </c>
      <c r="AH27" s="69" t="s">
        <v>939</v>
      </c>
      <c r="AI27" s="69" t="s">
        <v>939</v>
      </c>
      <c r="AJ27" s="69" t="s">
        <v>939</v>
      </c>
      <c r="AK27" s="69" t="s">
        <v>939</v>
      </c>
    </row>
    <row r="28" customFormat="false" ht="202.5" hidden="false" customHeight="true" outlineLevel="0" collapsed="false">
      <c r="B28" s="22" t="s">
        <v>941</v>
      </c>
      <c r="C28" s="22" t="s">
        <v>972</v>
      </c>
      <c r="D28" s="22" t="s">
        <v>675</v>
      </c>
      <c r="E28" s="16" t="s">
        <v>973</v>
      </c>
      <c r="F28" s="16" t="s">
        <v>779</v>
      </c>
      <c r="G28" s="16" t="s">
        <v>974</v>
      </c>
      <c r="H28" s="16" t="s">
        <v>975</v>
      </c>
      <c r="I28" s="16" t="s">
        <v>976</v>
      </c>
      <c r="J28" s="16" t="s">
        <v>977</v>
      </c>
      <c r="K28" s="68" t="n">
        <v>0</v>
      </c>
      <c r="L28" s="16" t="s">
        <v>978</v>
      </c>
      <c r="M28" s="68" t="n">
        <v>0.8</v>
      </c>
      <c r="N28" s="22" t="s">
        <v>931</v>
      </c>
      <c r="O28" s="70"/>
      <c r="P28" s="70"/>
      <c r="Q28" s="70"/>
      <c r="R28" s="70"/>
      <c r="S28" s="70"/>
      <c r="T28" s="70"/>
      <c r="U28" s="70"/>
      <c r="V28" s="70"/>
      <c r="W28" s="68" t="str">
        <f aca="false">IFERROR(LOOKUP(2,1/(O28:V28&lt;&gt;""),O28:V28)/$M28,"")</f>
        <v/>
      </c>
      <c r="X28" s="22" t="str">
        <f aca="false">IFERROR(IF(COUNT(O28:V28)=0,"No data yet",IF(LOOKUP(2,1/(O28:V28&lt;&gt;""),O28:V28)&gt;=INDEX(O9:V9,$C$3),"On Track",IF(LOOKUP(2,1/(O28:V28&lt;&gt;""),O28:V28)&gt;=INDEX(O9:V9,$C$3)*0.85,"Slightly Behind","Behind"))),"")</f>
        <v>No data yet</v>
      </c>
      <c r="Y28" s="16" t="s">
        <v>979</v>
      </c>
      <c r="Z28" s="16" t="s">
        <v>980</v>
      </c>
      <c r="AA28" s="16" t="s">
        <v>981</v>
      </c>
      <c r="AB28" s="22" t="s">
        <v>982</v>
      </c>
      <c r="AC28" s="16" t="s">
        <v>181</v>
      </c>
      <c r="AD28" s="16" t="s">
        <v>837</v>
      </c>
      <c r="AE28" s="16" t="s">
        <v>983</v>
      </c>
      <c r="AF28" s="16" t="s">
        <v>984</v>
      </c>
      <c r="AG28" s="16" t="s">
        <v>985</v>
      </c>
      <c r="AH28" s="69" t="s">
        <v>939</v>
      </c>
      <c r="AI28" s="69" t="s">
        <v>939</v>
      </c>
      <c r="AJ28" s="69" t="s">
        <v>939</v>
      </c>
      <c r="AK28" s="69" t="s">
        <v>939</v>
      </c>
    </row>
    <row r="29" customFormat="false" ht="177" hidden="false" customHeight="true" outlineLevel="0" collapsed="false">
      <c r="B29" s="22" t="s">
        <v>941</v>
      </c>
      <c r="C29" s="22" t="s">
        <v>186</v>
      </c>
      <c r="D29" s="22" t="s">
        <v>681</v>
      </c>
      <c r="E29" s="16" t="s">
        <v>986</v>
      </c>
      <c r="F29" s="16" t="s">
        <v>987</v>
      </c>
      <c r="G29" s="16" t="s">
        <v>988</v>
      </c>
      <c r="H29" s="16" t="s">
        <v>989</v>
      </c>
      <c r="I29" s="16" t="s">
        <v>990</v>
      </c>
      <c r="J29" s="16" t="s">
        <v>991</v>
      </c>
      <c r="K29" s="68" t="n">
        <v>0</v>
      </c>
      <c r="L29" s="16" t="s">
        <v>992</v>
      </c>
      <c r="M29" s="68" t="n">
        <v>0.8</v>
      </c>
      <c r="N29" s="22" t="s">
        <v>931</v>
      </c>
      <c r="O29" s="70"/>
      <c r="P29" s="70"/>
      <c r="Q29" s="70"/>
      <c r="R29" s="70"/>
      <c r="S29" s="70"/>
      <c r="T29" s="70"/>
      <c r="U29" s="70"/>
      <c r="V29" s="70"/>
      <c r="W29" s="68" t="str">
        <f aca="false">IFERROR(LOOKUP(2,1/(O29:V29&lt;&gt;""),O29:V29)/$M29,"")</f>
        <v/>
      </c>
      <c r="X29" s="22" t="str">
        <f aca="false">IFERROR(IF(COUNT(O29:V29)=0,"No data yet",IF(LOOKUP(2,1/(O29:V29&lt;&gt;""),O29:V29)&gt;=INDEX(O9:V9,$C$3),"On Track",IF(LOOKUP(2,1/(O29:V29&lt;&gt;""),O29:V29)&gt;=INDEX(O9:V9,$C$3)*0.85,"Slightly Behind","Behind"))),"")</f>
        <v>No data yet</v>
      </c>
      <c r="Y29" s="16" t="s">
        <v>993</v>
      </c>
      <c r="Z29" s="16" t="s">
        <v>994</v>
      </c>
      <c r="AA29" s="16" t="s">
        <v>995</v>
      </c>
      <c r="AB29" s="22" t="s">
        <v>996</v>
      </c>
      <c r="AC29" s="16" t="s">
        <v>649</v>
      </c>
      <c r="AD29" s="16" t="s">
        <v>954</v>
      </c>
      <c r="AE29" s="16" t="s">
        <v>997</v>
      </c>
      <c r="AF29" s="16" t="s">
        <v>998</v>
      </c>
      <c r="AG29" s="16" t="s">
        <v>999</v>
      </c>
      <c r="AH29" s="69" t="s">
        <v>939</v>
      </c>
      <c r="AI29" s="69" t="s">
        <v>939</v>
      </c>
      <c r="AJ29" s="69" t="s">
        <v>939</v>
      </c>
      <c r="AK29" s="69" t="s">
        <v>939</v>
      </c>
    </row>
    <row r="30" customFormat="false" ht="189.75" hidden="false" customHeight="true" outlineLevel="0" collapsed="false">
      <c r="B30" s="22" t="s">
        <v>941</v>
      </c>
      <c r="C30" s="22" t="s">
        <v>1000</v>
      </c>
      <c r="D30" s="22" t="s">
        <v>1001</v>
      </c>
      <c r="E30" s="16" t="s">
        <v>543</v>
      </c>
      <c r="F30" s="16" t="s">
        <v>785</v>
      </c>
      <c r="G30" s="16" t="s">
        <v>1002</v>
      </c>
      <c r="H30" s="16" t="s">
        <v>1003</v>
      </c>
      <c r="I30" s="16" t="s">
        <v>1004</v>
      </c>
      <c r="J30" s="16" t="s">
        <v>1005</v>
      </c>
      <c r="K30" s="68" t="n">
        <v>0</v>
      </c>
      <c r="L30" s="16" t="s">
        <v>1006</v>
      </c>
      <c r="M30" s="68" t="n">
        <v>0.75</v>
      </c>
      <c r="N30" s="22" t="s">
        <v>931</v>
      </c>
      <c r="O30" s="70"/>
      <c r="P30" s="70"/>
      <c r="Q30" s="70"/>
      <c r="R30" s="70"/>
      <c r="S30" s="70"/>
      <c r="T30" s="70"/>
      <c r="U30" s="70"/>
      <c r="V30" s="70"/>
      <c r="W30" s="68" t="str">
        <f aca="false">IFERROR(LOOKUP(2,1/(O30:V30&lt;&gt;""),O30:V30)/$M30,"")</f>
        <v/>
      </c>
      <c r="X30" s="22" t="str">
        <f aca="false">IFERROR(IF(COUNT(O30:V30)=0,"No data yet",IF(LOOKUP(2,1/(O30:V30&lt;&gt;""),O30:V30)&gt;=INDEX(O9:V9,$C$3),"On Track",IF(LOOKUP(2,1/(O30:V30&lt;&gt;""),O30:V30)&gt;=INDEX(O9:V9,$C$3)*0.85,"Slightly Behind","Behind"))),"")</f>
        <v>No data yet</v>
      </c>
      <c r="Y30" s="16" t="s">
        <v>1007</v>
      </c>
      <c r="Z30" s="16" t="s">
        <v>1008</v>
      </c>
      <c r="AA30" s="16" t="s">
        <v>1009</v>
      </c>
      <c r="AB30" s="22" t="s">
        <v>1010</v>
      </c>
      <c r="AC30" s="16" t="s">
        <v>649</v>
      </c>
      <c r="AD30" s="16" t="s">
        <v>954</v>
      </c>
      <c r="AE30" s="16" t="s">
        <v>1011</v>
      </c>
      <c r="AF30" s="16" t="s">
        <v>1012</v>
      </c>
      <c r="AG30" s="16" t="s">
        <v>1013</v>
      </c>
      <c r="AH30" s="69" t="s">
        <v>939</v>
      </c>
      <c r="AI30" s="69" t="s">
        <v>939</v>
      </c>
      <c r="AJ30" s="69" t="s">
        <v>939</v>
      </c>
      <c r="AK30" s="69" t="s">
        <v>939</v>
      </c>
    </row>
    <row r="31" customFormat="false" ht="19.5" hidden="false" customHeight="true" outlineLevel="0" collapsed="false">
      <c r="B31" s="66" t="s">
        <v>1014</v>
      </c>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row>
    <row r="32" customFormat="false" ht="229.5" hidden="false" customHeight="true" outlineLevel="0" collapsed="false">
      <c r="B32" s="22" t="s">
        <v>1015</v>
      </c>
      <c r="C32" s="22" t="s">
        <v>1016</v>
      </c>
      <c r="D32" s="22" t="s">
        <v>1017</v>
      </c>
      <c r="E32" s="16"/>
      <c r="F32" s="16" t="s">
        <v>790</v>
      </c>
      <c r="G32" s="16" t="s">
        <v>1018</v>
      </c>
      <c r="H32" s="16" t="s">
        <v>1019</v>
      </c>
      <c r="I32" s="16" t="s">
        <v>1020</v>
      </c>
      <c r="J32" s="16" t="s">
        <v>1021</v>
      </c>
      <c r="K32" s="22" t="n">
        <v>0</v>
      </c>
      <c r="L32" s="16" t="s">
        <v>939</v>
      </c>
      <c r="M32" s="22" t="s">
        <v>939</v>
      </c>
      <c r="N32" s="22" t="s">
        <v>832</v>
      </c>
      <c r="O32" s="67" t="n">
        <f aca="false">IF(1&gt;'7. IPTT'!$C$3,"",IFERROR((SUMPRODUCT(ISNUMBER(SEARCH($C32,'8. Activity Tracker'!$J$7:$J$93))*N('8. Activity Tracker'!V$7:V$93))),0))</f>
        <v>0</v>
      </c>
      <c r="P32" s="67" t="str">
        <f aca="false">IF(2&gt;'7. IPTT'!$C$3,"",IFERROR((SUMPRODUCT(ISNUMBER(SEARCH($C32,'8. Activity Tracker'!$J$7:$J$93))*N('8. Activity Tracker'!V$7:V$93))+SUMPRODUCT(ISNUMBER(SEARCH($C32,'8. Activity Tracker'!$J$7:$J$93))*N('8. Activity Tracker'!W$7:W$93))),0))</f>
        <v/>
      </c>
      <c r="Q32" s="67" t="str">
        <f aca="false">IF(3&gt;'7. IPTT'!$C$3,"",IFERROR((SUMPRODUCT(ISNUMBER(SEARCH($C32,'8. Activity Tracker'!$J$7:$J$93))*N('8. Activity Tracker'!V$7:V$93))+SUMPRODUCT(ISNUMBER(SEARCH($C32,'8. Activity Tracker'!$J$7:$J$93))*N('8. Activity Tracker'!W$7:W$93))+SUMPRODUCT(ISNUMBER(SEARCH($C32,'8. Activity Tracker'!$J$7:$J$93))*N('8. Activity Tracker'!X$7:X$93))),0))</f>
        <v/>
      </c>
      <c r="R32" s="67" t="str">
        <f aca="false">IF(4&gt;'7. IPTT'!$C$3,"",IFERROR((SUMPRODUCT(ISNUMBER(SEARCH($C32,'8. Activity Tracker'!$J$7:$J$93))*N('8. Activity Tracker'!V$7:V$93))+SUMPRODUCT(ISNUMBER(SEARCH($C32,'8. Activity Tracker'!$J$7:$J$93))*N('8. Activity Tracker'!W$7:W$93))+SUMPRODUCT(ISNUMBER(SEARCH($C32,'8. Activity Tracker'!$J$7:$J$93))*N('8. Activity Tracker'!X$7:X$93))+SUMPRODUCT(ISNUMBER(SEARCH($C32,'8. Activity Tracker'!$J$7:$J$93))*N('8. Activity Tracker'!Y$7:Y$93))),0))</f>
        <v/>
      </c>
      <c r="S32" s="67" t="str">
        <f aca="false">IF(5&gt;'7. IPTT'!$C$3,"",IFERROR((SUMPRODUCT(ISNUMBER(SEARCH($C32,'8. Activity Tracker'!$J$7:$J$93))*N('8. Activity Tracker'!V$7:V$93))+SUMPRODUCT(ISNUMBER(SEARCH($C32,'8. Activity Tracker'!$J$7:$J$93))*N('8. Activity Tracker'!W$7:W$93))+SUMPRODUCT(ISNUMBER(SEARCH($C32,'8. Activity Tracker'!$J$7:$J$93))*N('8. Activity Tracker'!X$7:X$93))+SUMPRODUCT(ISNUMBER(SEARCH($C32,'8. Activity Tracker'!$J$7:$J$93))*N('8. Activity Tracker'!Y$7:Y$93))+SUMPRODUCT(ISNUMBER(SEARCH($C32,'8. Activity Tracker'!$J$7:$J$93))*N('8. Activity Tracker'!Z$7:Z$93))),0))</f>
        <v/>
      </c>
      <c r="T32" s="67" t="str">
        <f aca="false">IF(6&gt;'7. IPTT'!$C$3,"",IFERROR((SUMPRODUCT(ISNUMBER(SEARCH($C32,'8. Activity Tracker'!$J$7:$J$93))*N('8. Activity Tracker'!V$7:V$93))+SUMPRODUCT(ISNUMBER(SEARCH($C32,'8. Activity Tracker'!$J$7:$J$93))*N('8. Activity Tracker'!W$7:W$93))+SUMPRODUCT(ISNUMBER(SEARCH($C32,'8. Activity Tracker'!$J$7:$J$93))*N('8. Activity Tracker'!X$7:X$93))+SUMPRODUCT(ISNUMBER(SEARCH($C32,'8. Activity Tracker'!$J$7:$J$93))*N('8. Activity Tracker'!Y$7:Y$93))+SUMPRODUCT(ISNUMBER(SEARCH($C32,'8. Activity Tracker'!$J$7:$J$93))*N('8. Activity Tracker'!Z$7:Z$93))+SUMPRODUCT(ISNUMBER(SEARCH($C32,'8. Activity Tracker'!$J$7:$J$93))*N('8. Activity Tracker'!AA$7:AA$93))),0))</f>
        <v/>
      </c>
      <c r="U32" s="67" t="str">
        <f aca="false">IF(7&gt;'7. IPTT'!$C$3,"",IFERROR((SUMPRODUCT(ISNUMBER(SEARCH($C32,'8. Activity Tracker'!$J$7:$J$93))*N('8. Activity Tracker'!V$7:V$93))+SUMPRODUCT(ISNUMBER(SEARCH($C32,'8. Activity Tracker'!$J$7:$J$93))*N('8. Activity Tracker'!W$7:W$93))+SUMPRODUCT(ISNUMBER(SEARCH($C32,'8. Activity Tracker'!$J$7:$J$93))*N('8. Activity Tracker'!X$7:X$93))+SUMPRODUCT(ISNUMBER(SEARCH($C32,'8. Activity Tracker'!$J$7:$J$93))*N('8. Activity Tracker'!Y$7:Y$93))+SUMPRODUCT(ISNUMBER(SEARCH($C32,'8. Activity Tracker'!$J$7:$J$93))*N('8. Activity Tracker'!Z$7:Z$93))+SUMPRODUCT(ISNUMBER(SEARCH($C32,'8. Activity Tracker'!$J$7:$J$93))*N('8. Activity Tracker'!AA$7:AA$93))+SUMPRODUCT(ISNUMBER(SEARCH($C32,'8. Activity Tracker'!$J$7:$J$93))*N('8. Activity Tracker'!AB$7:AB$93))),0))</f>
        <v/>
      </c>
      <c r="V32" s="67" t="str">
        <f aca="false">IF(8&gt;'7. IPTT'!$C$3,"",IFERROR((SUMPRODUCT(ISNUMBER(SEARCH($C32,'8. Activity Tracker'!$J$7:$J$93))*N('8. Activity Tracker'!V$7:V$93))+SUMPRODUCT(ISNUMBER(SEARCH($C32,'8. Activity Tracker'!$J$7:$J$93))*N('8. Activity Tracker'!W$7:W$93))+SUMPRODUCT(ISNUMBER(SEARCH($C32,'8. Activity Tracker'!$J$7:$J$93))*N('8. Activity Tracker'!X$7:X$93))+SUMPRODUCT(ISNUMBER(SEARCH($C32,'8. Activity Tracker'!$J$7:$J$93))*N('8. Activity Tracker'!Y$7:Y$93))+SUMPRODUCT(ISNUMBER(SEARCH($C32,'8. Activity Tracker'!$J$7:$J$93))*N('8. Activity Tracker'!Z$7:Z$93))+SUMPRODUCT(ISNUMBER(SEARCH($C32,'8. Activity Tracker'!$J$7:$J$93))*N('8. Activity Tracker'!AA$7:AA$93))+SUMPRODUCT(ISNUMBER(SEARCH($C32,'8. Activity Tracker'!$J$7:$J$93))*N('8. Activity Tracker'!AB$7:AB$93))+SUMPRODUCT(ISNUMBER(SEARCH($C32,'8. Activity Tracker'!$J$7:$J$93))*N('8. Activity Tracker'!AC$7:AC$93))),0))</f>
        <v/>
      </c>
      <c r="W32" s="22" t="s">
        <v>939</v>
      </c>
      <c r="X32" s="22" t="s">
        <v>939</v>
      </c>
      <c r="Y32" s="16" t="s">
        <v>1022</v>
      </c>
      <c r="Z32" s="16" t="s">
        <v>1023</v>
      </c>
      <c r="AA32" s="16" t="s">
        <v>1024</v>
      </c>
      <c r="AB32" s="22" t="s">
        <v>1025</v>
      </c>
      <c r="AC32" s="16" t="s">
        <v>1026</v>
      </c>
      <c r="AD32" s="16" t="s">
        <v>850</v>
      </c>
      <c r="AE32" s="16" t="s">
        <v>1027</v>
      </c>
      <c r="AF32" s="16" t="str">
        <f aca="false">IFERROR("During the reporting period (cumulative through Q"&amp;'7. IPTT'!$C$3&amp;"), FIVDB reported "&amp;TEXT(LOOKUP(2,1/(O32:V32&lt;&gt;""),O32:V32),"#,##0")&amp;" against the indicator '"&amp;$F32&amp;"' - "&amp;TEXT($W32,"0%")&amp;" of the "&amp;TEXT($M32,"#,##0")&amp;" life-of-project target. "&amp;"Disaggregated: "&amp;TEXT($AH32,"#,##0")&amp;" girls (&lt;18), "&amp;TEXT($AI32,"#,##0")&amp;" boys (&lt;18), "&amp;TEXT($AJ32,"#,##0")&amp;" women (18+), "&amp;TEXT($AK32,"#,##0")&amp;" men (18+).","During the reporting period, FIVDB reported progress against this indicator - see Cumulative Actual to Date and % of LOP Target Achieved.")</f>
        <v>During the reporting period (cumulative through Q1), FIVDB reported 0 against the indicator '(MANDATORY) Number of minimum standards for care for survivors achieved' - N/A of the N/A life-of-project target. Disaggregated: 0 girls (&lt;18), 0 boys (&lt;18), 0 women (18+), 0 men (18+).</v>
      </c>
      <c r="AG32" s="16" t="s">
        <v>1028</v>
      </c>
      <c r="AH32" s="69" t="n">
        <f aca="false">IFERROR(SUMPRODUCT(ISNUMBER(SEARCH($C32,'10. Activity Data Log'!$AC$7:$AC$46))*(IFERROR(VALUE(MID('10. Activity Data Log'!$AD$7:$AD$46,2,1)),99)&lt;='7. IPTT'!$C$3)*N('10. Activity Data Log'!$O$7:$O$46))+SUMPRODUCT(ISNUMBER(SEARCH($C32,'11. Distribution Log'!$AH$7:$AH$46))*(IFERROR(VALUE(MID('11. Distribution Log'!$AI$7:$AI$46,2,1)),99)&lt;='7. IPTT'!$C$3)*N('11. Distribution Log'!$Q$7:$Q$46))+SUMPRODUCT(ISNUMBER(SEARCH($C32,'10. Activity Data Log'!$AC$7:$AC$46))*(IFERROR(VALUE(MID('10. Activity Data Log'!$AD$7:$AD$46,2,1)),99)&lt;='7. IPTT'!$C$3)*N('10. Activity Data Log'!$S$7:$S$46))+SUMPRODUCT(ISNUMBER(SEARCH($C32,'11. Distribution Log'!$AH$7:$AH$46))*(IFERROR(VALUE(MID('11. Distribution Log'!$AI$7:$AI$46,2,1)),99)&lt;='7. IPTT'!$C$3)*N('11. Distribution Log'!$U$7:$U$46)),0)</f>
        <v>0</v>
      </c>
      <c r="AI32" s="69" t="n">
        <f aca="false">IFERROR(SUMPRODUCT(ISNUMBER(SEARCH($C32,'10. Activity Data Log'!$AC$7:$AC$46))*(IFERROR(VALUE(MID('10. Activity Data Log'!$AD$7:$AD$46,2,1)),99)&lt;='7. IPTT'!$C$3)*N('10. Activity Data Log'!$M$7:$M$46))+SUMPRODUCT(ISNUMBER(SEARCH($C32,'11. Distribution Log'!$AH$7:$AH$46))*(IFERROR(VALUE(MID('11. Distribution Log'!$AI$7:$AI$46,2,1)),99)&lt;='7. IPTT'!$C$3)*N('11. Distribution Log'!$O$7:$O$46))+SUMPRODUCT(ISNUMBER(SEARCH($C32,'10. Activity Data Log'!$AC$7:$AC$46))*(IFERROR(VALUE(MID('10. Activity Data Log'!$AD$7:$AD$46,2,1)),99)&lt;='7. IPTT'!$C$3)*N('10. Activity Data Log'!$Q$7:$Q$46))+SUMPRODUCT(ISNUMBER(SEARCH($C32,'11. Distribution Log'!$AH$7:$AH$46))*(IFERROR(VALUE(MID('11. Distribution Log'!$AI$7:$AI$46,2,1)),99)&lt;='7. IPTT'!$C$3)*N('11. Distribution Log'!$S$7:$S$46)),0)</f>
        <v>0</v>
      </c>
      <c r="AJ32" s="69" t="n">
        <f aca="false">IFERROR(SUMPRODUCT(ISNUMBER(SEARCH($C32,'10. Activity Data Log'!$AC$7:$AC$46))*(IFERROR(VALUE(MID('10. Activity Data Log'!$AD$7:$AD$46,2,1)),99)&lt;='7. IPTT'!$C$3)*N('10. Activity Data Log'!$P$7:$P$46))+SUMPRODUCT(ISNUMBER(SEARCH($C32,'11. Distribution Log'!$AH$7:$AH$46))*(IFERROR(VALUE(MID('11. Distribution Log'!$AI$7:$AI$46,2,1)),99)&lt;='7. IPTT'!$C$3)*N('11. Distribution Log'!$R$7:$R$46))+SUMPRODUCT(ISNUMBER(SEARCH($C32,'10. Activity Data Log'!$AC$7:$AC$46))*(IFERROR(VALUE(MID('10. Activity Data Log'!$AD$7:$AD$46,2,1)),99)&lt;='7. IPTT'!$C$3)*N('10. Activity Data Log'!$T$7:$T$46))+SUMPRODUCT(ISNUMBER(SEARCH($C32,'11. Distribution Log'!$AH$7:$AH$46))*(IFERROR(VALUE(MID('11. Distribution Log'!$AI$7:$AI$46,2,1)),99)&lt;='7. IPTT'!$C$3)*N('11. Distribution Log'!$V$7:$V$46)),0)</f>
        <v>0</v>
      </c>
      <c r="AK32" s="69" t="n">
        <f aca="false">IFERROR(SUMPRODUCT(ISNUMBER(SEARCH($C32,'10. Activity Data Log'!$AC$7:$AC$46))*(IFERROR(VALUE(MID('10. Activity Data Log'!$AD$7:$AD$46,2,1)),99)&lt;='7. IPTT'!$C$3)*N('10. Activity Data Log'!$N$7:$N$46))+SUMPRODUCT(ISNUMBER(SEARCH($C32,'11. Distribution Log'!$AH$7:$AH$46))*(IFERROR(VALUE(MID('11. Distribution Log'!$AI$7:$AI$46,2,1)),99)&lt;='7. IPTT'!$C$3)*N('11. Distribution Log'!$P$7:$P$46))+SUMPRODUCT(ISNUMBER(SEARCH($C32,'10. Activity Data Log'!$AC$7:$AC$46))*(IFERROR(VALUE(MID('10. Activity Data Log'!$AD$7:$AD$46,2,1)),99)&lt;='7. IPTT'!$C$3)*N('10. Activity Data Log'!$R$7:$R$46))+SUMPRODUCT(ISNUMBER(SEARCH($C32,'11. Distribution Log'!$AH$7:$AH$46))*(IFERROR(VALUE(MID('11. Distribution Log'!$AI$7:$AI$46,2,1)),99)&lt;='7. IPTT'!$C$3)*N('11. Distribution Log'!$T$7:$T$46)),0)</f>
        <v>0</v>
      </c>
    </row>
    <row r="33" customFormat="false" ht="46.5" hidden="false" customHeight="true" outlineLevel="0" collapsed="false">
      <c r="B33" s="22" t="s">
        <v>1015</v>
      </c>
      <c r="C33" s="22" t="s">
        <v>1029</v>
      </c>
      <c r="D33" s="22" t="s">
        <v>1017</v>
      </c>
      <c r="E33" s="16"/>
      <c r="F33" s="16" t="s">
        <v>1030</v>
      </c>
      <c r="G33" s="16" t="s">
        <v>1018</v>
      </c>
      <c r="H33" s="16" t="s">
        <v>1031</v>
      </c>
      <c r="I33" s="16" t="s">
        <v>1032</v>
      </c>
      <c r="J33" s="16" t="s">
        <v>1033</v>
      </c>
      <c r="K33" s="68" t="n">
        <v>0</v>
      </c>
      <c r="L33" s="16" t="s">
        <v>939</v>
      </c>
      <c r="M33" s="22" t="s">
        <v>939</v>
      </c>
      <c r="N33" s="22" t="s">
        <v>931</v>
      </c>
      <c r="O33" s="22" t="s">
        <v>939</v>
      </c>
      <c r="P33" s="22" t="s">
        <v>939</v>
      </c>
      <c r="Q33" s="22" t="s">
        <v>939</v>
      </c>
      <c r="R33" s="22" t="s">
        <v>939</v>
      </c>
      <c r="S33" s="22" t="s">
        <v>939</v>
      </c>
      <c r="T33" s="22" t="s">
        <v>939</v>
      </c>
      <c r="U33" s="22" t="s">
        <v>939</v>
      </c>
      <c r="V33" s="22" t="s">
        <v>939</v>
      </c>
      <c r="W33" s="22" t="s">
        <v>939</v>
      </c>
      <c r="X33" s="22" t="s">
        <v>939</v>
      </c>
      <c r="Y33" s="16" t="s">
        <v>1034</v>
      </c>
      <c r="Z33" s="16" t="s">
        <v>1035</v>
      </c>
      <c r="AA33" s="16" t="s">
        <v>1024</v>
      </c>
      <c r="AB33" s="22" t="s">
        <v>1036</v>
      </c>
      <c r="AC33" s="16" t="s">
        <v>1026</v>
      </c>
      <c r="AD33" s="16" t="s">
        <v>850</v>
      </c>
      <c r="AE33" s="16" t="s">
        <v>1037</v>
      </c>
      <c r="AF33" s="16" t="s">
        <v>1038</v>
      </c>
      <c r="AG33" s="16" t="s">
        <v>1039</v>
      </c>
      <c r="AH33" s="69" t="s">
        <v>939</v>
      </c>
      <c r="AI33" s="69" t="s">
        <v>939</v>
      </c>
      <c r="AJ33" s="69" t="s">
        <v>939</v>
      </c>
      <c r="AK33" s="69" t="s">
        <v>939</v>
      </c>
    </row>
    <row r="34" customFormat="false" ht="60" hidden="false" customHeight="true" outlineLevel="0" collapsed="false">
      <c r="B34" s="22" t="s">
        <v>1015</v>
      </c>
      <c r="C34" s="22" t="s">
        <v>1040</v>
      </c>
      <c r="D34" s="22" t="s">
        <v>1017</v>
      </c>
      <c r="E34" s="16"/>
      <c r="F34" s="16" t="s">
        <v>1041</v>
      </c>
      <c r="G34" s="16" t="s">
        <v>1018</v>
      </c>
      <c r="H34" s="16" t="s">
        <v>1042</v>
      </c>
      <c r="I34" s="16" t="s">
        <v>1043</v>
      </c>
      <c r="J34" s="16" t="s">
        <v>1044</v>
      </c>
      <c r="K34" s="68" t="n">
        <v>0</v>
      </c>
      <c r="L34" s="16" t="s">
        <v>939</v>
      </c>
      <c r="M34" s="22" t="s">
        <v>939</v>
      </c>
      <c r="N34" s="22" t="s">
        <v>931</v>
      </c>
      <c r="O34" s="22" t="s">
        <v>939</v>
      </c>
      <c r="P34" s="22" t="s">
        <v>939</v>
      </c>
      <c r="Q34" s="22" t="s">
        <v>939</v>
      </c>
      <c r="R34" s="22" t="s">
        <v>939</v>
      </c>
      <c r="S34" s="22" t="s">
        <v>939</v>
      </c>
      <c r="T34" s="22" t="s">
        <v>939</v>
      </c>
      <c r="U34" s="22" t="s">
        <v>939</v>
      </c>
      <c r="V34" s="22" t="s">
        <v>939</v>
      </c>
      <c r="W34" s="22" t="s">
        <v>939</v>
      </c>
      <c r="X34" s="22" t="s">
        <v>939</v>
      </c>
      <c r="Y34" s="16" t="s">
        <v>1034</v>
      </c>
      <c r="Z34" s="16" t="s">
        <v>1035</v>
      </c>
      <c r="AA34" s="16" t="s">
        <v>1024</v>
      </c>
      <c r="AB34" s="22" t="s">
        <v>1036</v>
      </c>
      <c r="AC34" s="16" t="s">
        <v>1026</v>
      </c>
      <c r="AD34" s="16" t="s">
        <v>850</v>
      </c>
      <c r="AE34" s="16" t="s">
        <v>1045</v>
      </c>
      <c r="AF34" s="16" t="s">
        <v>1046</v>
      </c>
      <c r="AG34" s="16" t="s">
        <v>1047</v>
      </c>
      <c r="AH34" s="69" t="s">
        <v>939</v>
      </c>
      <c r="AI34" s="69" t="s">
        <v>939</v>
      </c>
      <c r="AJ34" s="69" t="s">
        <v>939</v>
      </c>
      <c r="AK34" s="69" t="s">
        <v>939</v>
      </c>
    </row>
    <row r="35" customFormat="false" ht="19.5" hidden="false" customHeight="true" outlineLevel="0" collapsed="false">
      <c r="B35" s="66" t="s">
        <v>1048</v>
      </c>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row>
    <row r="36" customFormat="false" ht="85.5" hidden="false" customHeight="true" outlineLevel="0" collapsed="false">
      <c r="B36" s="22" t="s">
        <v>1049</v>
      </c>
      <c r="C36" s="22" t="s">
        <v>180</v>
      </c>
      <c r="D36" s="22" t="s">
        <v>661</v>
      </c>
      <c r="E36" s="16" t="s">
        <v>1050</v>
      </c>
      <c r="F36" s="16" t="s">
        <v>729</v>
      </c>
      <c r="G36" s="16" t="s">
        <v>1051</v>
      </c>
      <c r="H36" s="16" t="s">
        <v>1052</v>
      </c>
      <c r="I36" s="16" t="s">
        <v>1053</v>
      </c>
      <c r="J36" s="16" t="s">
        <v>1054</v>
      </c>
      <c r="K36" s="68" t="n">
        <v>0</v>
      </c>
      <c r="L36" s="16" t="s">
        <v>1055</v>
      </c>
      <c r="M36" s="68" t="n">
        <v>0.85</v>
      </c>
      <c r="N36" s="22" t="s">
        <v>931</v>
      </c>
      <c r="O36" s="70"/>
      <c r="P36" s="70"/>
      <c r="Q36" s="70"/>
      <c r="R36" s="70"/>
      <c r="S36" s="70"/>
      <c r="T36" s="70"/>
      <c r="U36" s="70"/>
      <c r="V36" s="70"/>
      <c r="W36" s="68" t="str">
        <f aca="false">IFERROR(LOOKUP(2,1/(O36:V36&lt;&gt;""),O36:V36)/$M36,"")</f>
        <v/>
      </c>
      <c r="X36" s="22" t="str">
        <f aca="false">IFERROR(IF(COUNT(O36:V36)=0,"No data yet",IF(LOOKUP(2,1/(O36:V36&lt;&gt;""),O36:V36)&gt;=INDEX(O9:V9,$C$3),"On Track",IF(LOOKUP(2,1/(O36:V36&lt;&gt;""),O36:V36)&gt;=INDEX(O9:V9,$C$3)*0.85,"Slightly Behind","Behind"))),"")</f>
        <v>No data yet</v>
      </c>
      <c r="Y36" s="16" t="s">
        <v>1056</v>
      </c>
      <c r="Z36" s="16" t="s">
        <v>1057</v>
      </c>
      <c r="AA36" s="16" t="s">
        <v>1058</v>
      </c>
      <c r="AB36" s="22" t="s">
        <v>1059</v>
      </c>
      <c r="AC36" s="16" t="s">
        <v>181</v>
      </c>
      <c r="AD36" s="16" t="s">
        <v>837</v>
      </c>
      <c r="AE36" s="16" t="s">
        <v>1060</v>
      </c>
      <c r="AF36" s="16" t="s">
        <v>1061</v>
      </c>
      <c r="AG36" s="16" t="s">
        <v>1062</v>
      </c>
      <c r="AH36" s="69" t="s">
        <v>939</v>
      </c>
      <c r="AI36" s="69" t="s">
        <v>939</v>
      </c>
      <c r="AJ36" s="69" t="s">
        <v>939</v>
      </c>
      <c r="AK36" s="69" t="s">
        <v>939</v>
      </c>
    </row>
    <row r="37" customFormat="false" ht="124.5" hidden="false" customHeight="true" outlineLevel="0" collapsed="false">
      <c r="B37" s="22" t="s">
        <v>1049</v>
      </c>
      <c r="C37" s="22" t="s">
        <v>1063</v>
      </c>
      <c r="D37" s="22" t="s">
        <v>1064</v>
      </c>
      <c r="E37" s="16"/>
      <c r="F37" s="16" t="s">
        <v>733</v>
      </c>
      <c r="G37" s="16" t="s">
        <v>1065</v>
      </c>
      <c r="H37" s="16" t="s">
        <v>1066</v>
      </c>
      <c r="I37" s="16" t="s">
        <v>1067</v>
      </c>
      <c r="J37" s="16" t="s">
        <v>1068</v>
      </c>
      <c r="K37" s="68" t="n">
        <v>0</v>
      </c>
      <c r="L37" s="16" t="s">
        <v>1069</v>
      </c>
      <c r="M37" s="68" t="n">
        <v>0.9</v>
      </c>
      <c r="N37" s="22" t="s">
        <v>931</v>
      </c>
      <c r="O37" s="70"/>
      <c r="P37" s="70"/>
      <c r="Q37" s="70"/>
      <c r="R37" s="70"/>
      <c r="S37" s="70"/>
      <c r="T37" s="70"/>
      <c r="U37" s="70"/>
      <c r="V37" s="70"/>
      <c r="W37" s="68" t="str">
        <f aca="false">IFERROR(LOOKUP(2,1/(O37:V37&lt;&gt;""),O37:V37)/$M37,"")</f>
        <v/>
      </c>
      <c r="X37" s="22" t="str">
        <f aca="false">IFERROR(IF(COUNT(O37:V37)=0,"No data yet",IF(LOOKUP(2,1/(O37:V37&lt;&gt;""),O37:V37)&gt;=INDEX(O9:V9,$C$3),"On Track",IF(LOOKUP(2,1/(O37:V37&lt;&gt;""),O37:V37)&gt;=INDEX(O9:V9,$C$3)*0.85,"Slightly Behind","Behind"))),"")</f>
        <v>No data yet</v>
      </c>
      <c r="Y37" s="16" t="s">
        <v>1070</v>
      </c>
      <c r="Z37" s="16" t="s">
        <v>1071</v>
      </c>
      <c r="AA37" s="16" t="s">
        <v>1072</v>
      </c>
      <c r="AB37" s="22" t="s">
        <v>1073</v>
      </c>
      <c r="AC37" s="16" t="s">
        <v>197</v>
      </c>
      <c r="AD37" s="16" t="s">
        <v>850</v>
      </c>
      <c r="AE37" s="16" t="s">
        <v>1074</v>
      </c>
      <c r="AF37" s="16" t="s">
        <v>1075</v>
      </c>
      <c r="AG37" s="16" t="s">
        <v>1076</v>
      </c>
      <c r="AH37" s="69" t="s">
        <v>939</v>
      </c>
      <c r="AI37" s="69" t="s">
        <v>939</v>
      </c>
      <c r="AJ37" s="69" t="s">
        <v>939</v>
      </c>
      <c r="AK37" s="69" t="s">
        <v>939</v>
      </c>
    </row>
  </sheetData>
  <autoFilter ref="B14:AK37"/>
  <mergeCells count="36">
    <mergeCell ref="B2:AG2"/>
    <mergeCell ref="B5:AG5"/>
    <mergeCell ref="B7:AG7"/>
    <mergeCell ref="B9:M9"/>
    <mergeCell ref="B10:M10"/>
    <mergeCell ref="B11:AG11"/>
    <mergeCell ref="B13:B14"/>
    <mergeCell ref="C13:C14"/>
    <mergeCell ref="D13:D14"/>
    <mergeCell ref="E13:E14"/>
    <mergeCell ref="F13:F14"/>
    <mergeCell ref="G13:G14"/>
    <mergeCell ref="H13:H14"/>
    <mergeCell ref="I13:I14"/>
    <mergeCell ref="J13:J14"/>
    <mergeCell ref="K13:K14"/>
    <mergeCell ref="L13:L14"/>
    <mergeCell ref="M13:M14"/>
    <mergeCell ref="N13:N14"/>
    <mergeCell ref="O13:V13"/>
    <mergeCell ref="W13:W14"/>
    <mergeCell ref="X13:X14"/>
    <mergeCell ref="Y13:Y14"/>
    <mergeCell ref="Z13:Z14"/>
    <mergeCell ref="AA13:AA14"/>
    <mergeCell ref="AB13:AB14"/>
    <mergeCell ref="AC13:AC14"/>
    <mergeCell ref="AD13:AD14"/>
    <mergeCell ref="AE13:AE14"/>
    <mergeCell ref="AF13:AF14"/>
    <mergeCell ref="AG13:AG14"/>
    <mergeCell ref="AH13:AK13"/>
    <mergeCell ref="B15:AG15"/>
    <mergeCell ref="B25:AG25"/>
    <mergeCell ref="B31:AG31"/>
    <mergeCell ref="B35:AG35"/>
  </mergeCells>
  <conditionalFormatting sqref="X15:X37">
    <cfRule type="expression" priority="2" aboveAverage="0" equalAverage="0" bottom="0" percent="0" rank="0" text="" dxfId="10">
      <formula>X15="On Track"</formula>
    </cfRule>
    <cfRule type="expression" priority="3" aboveAverage="0" equalAverage="0" bottom="0" percent="0" rank="0" text="" dxfId="11">
      <formula>X15="Slightly Behind"</formula>
    </cfRule>
    <cfRule type="expression" priority="4" aboveAverage="0" equalAverage="0" bottom="0" percent="0" rank="0" text="" dxfId="12">
      <formula>X15="Behind"</formula>
    </cfRule>
  </conditionalFormatting>
  <dataValidations count="1">
    <dataValidation allowBlank="false" errorStyle="stop" operator="between" showDropDown="false" showErrorMessage="false" showInputMessage="false" sqref="C3" type="whole">
      <formula1>1</formula1>
      <formula2>8</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O9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3" ySplit="6" topLeftCell="N7" activePane="bottomRight" state="frozen"/>
      <selection pane="topLeft" activeCell="A1" activeCellId="0" sqref="A1"/>
      <selection pane="topRight" activeCell="N1" activeCellId="0" sqref="N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4" min="3" style="0" width="11"/>
    <col collapsed="false" customWidth="true" hidden="false" outlineLevel="0" max="5" min="5" style="0" width="34"/>
    <col collapsed="false" customWidth="true" hidden="false" outlineLevel="0" max="6" min="6" style="0" width="30"/>
    <col collapsed="false" customWidth="true" hidden="false" outlineLevel="0" max="7" min="7" style="0" width="34"/>
    <col collapsed="false" customWidth="true" hidden="false" outlineLevel="0" max="9" min="8" style="0" width="20"/>
    <col collapsed="false" customWidth="true" hidden="false" outlineLevel="0" max="10" min="10" style="0" width="14"/>
    <col collapsed="false" customWidth="true" hidden="false" outlineLevel="0" max="11" min="11" style="0" width="34"/>
    <col collapsed="false" customWidth="true" hidden="false" outlineLevel="0" max="12" min="12" style="0" width="12"/>
    <col collapsed="false" customWidth="true" hidden="false" outlineLevel="0" max="13" min="13" style="0" width="11"/>
    <col collapsed="false" customWidth="true" hidden="false" outlineLevel="0" max="21" min="14" style="0" width="7"/>
    <col collapsed="false" customWidth="true" hidden="false" outlineLevel="0" max="30" min="22" style="0" width="10"/>
    <col collapsed="false" customWidth="true" hidden="false" outlineLevel="0" max="31" min="31" style="0" width="13"/>
    <col collapsed="false" customWidth="true" hidden="false" outlineLevel="0" max="32" min="32" style="0" width="22"/>
    <col collapsed="false" customWidth="true" hidden="false" outlineLevel="0" max="35" min="33" style="0" width="14"/>
    <col collapsed="false" customWidth="true" hidden="false" outlineLevel="0" max="36" min="36" style="0" width="20"/>
    <col collapsed="false" customWidth="true" hidden="false" outlineLevel="0" max="37" min="37" style="0" width="44"/>
    <col collapsed="false" customWidth="true" hidden="false" outlineLevel="0" max="38" min="38" style="0" width="26"/>
    <col collapsed="false" customWidth="true" hidden="false" outlineLevel="0" max="39" min="39" style="0" width="30"/>
    <col collapsed="false" customWidth="true" hidden="false" outlineLevel="0" max="40" min="40" style="0" width="16"/>
    <col collapsed="false" customWidth="true" hidden="false" outlineLevel="0" max="41" min="41" style="0" width="26"/>
  </cols>
  <sheetData>
    <row r="2" customFormat="false" ht="21.75" hidden="false" customHeight="true" outlineLevel="0" collapsed="false">
      <c r="B2" s="12" t="s">
        <v>1077</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row>
    <row r="3" customFormat="false" ht="32.8" hidden="false" customHeight="true" outlineLevel="0" collapsed="false">
      <c r="B3" s="13" t="s">
        <v>1078</v>
      </c>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row>
    <row r="5" customFormat="false" ht="25.5" hidden="false" customHeight="true" outlineLevel="0" collapsed="false">
      <c r="B5" s="18" t="s">
        <v>363</v>
      </c>
      <c r="C5" s="18" t="s">
        <v>1079</v>
      </c>
      <c r="D5" s="18" t="s">
        <v>1080</v>
      </c>
      <c r="E5" s="18" t="s">
        <v>1081</v>
      </c>
      <c r="F5" s="18" t="s">
        <v>1082</v>
      </c>
      <c r="G5" s="18" t="s">
        <v>1083</v>
      </c>
      <c r="H5" s="18" t="s">
        <v>1084</v>
      </c>
      <c r="I5" s="18" t="s">
        <v>1085</v>
      </c>
      <c r="J5" s="18" t="s">
        <v>1086</v>
      </c>
      <c r="K5" s="18" t="s">
        <v>1087</v>
      </c>
      <c r="L5" s="18" t="s">
        <v>1088</v>
      </c>
      <c r="M5" s="18" t="s">
        <v>403</v>
      </c>
      <c r="N5" s="19" t="s">
        <v>1089</v>
      </c>
      <c r="O5" s="19"/>
      <c r="P5" s="19"/>
      <c r="Q5" s="19"/>
      <c r="R5" s="19"/>
      <c r="S5" s="19"/>
      <c r="T5" s="19"/>
      <c r="U5" s="19"/>
      <c r="V5" s="48" t="s">
        <v>1090</v>
      </c>
      <c r="W5" s="48"/>
      <c r="X5" s="48"/>
      <c r="Y5" s="48"/>
      <c r="Z5" s="48"/>
      <c r="AA5" s="48"/>
      <c r="AB5" s="48"/>
      <c r="AC5" s="48"/>
      <c r="AD5" s="18" t="s">
        <v>1091</v>
      </c>
      <c r="AE5" s="18" t="s">
        <v>1092</v>
      </c>
      <c r="AF5" s="18" t="s">
        <v>1093</v>
      </c>
      <c r="AG5" s="18" t="s">
        <v>1094</v>
      </c>
      <c r="AH5" s="18" t="s">
        <v>1095</v>
      </c>
      <c r="AI5" s="18" t="s">
        <v>1096</v>
      </c>
      <c r="AJ5" s="18" t="s">
        <v>1097</v>
      </c>
      <c r="AK5" s="18" t="s">
        <v>817</v>
      </c>
      <c r="AL5" s="18" t="s">
        <v>1098</v>
      </c>
      <c r="AM5" s="18" t="s">
        <v>1099</v>
      </c>
      <c r="AN5" s="18" t="s">
        <v>151</v>
      </c>
      <c r="AO5" s="18" t="s">
        <v>818</v>
      </c>
    </row>
    <row r="6" customFormat="false" ht="19.5" hidden="false" customHeight="true" outlineLevel="0" collapsed="false">
      <c r="B6" s="18"/>
      <c r="C6" s="18"/>
      <c r="D6" s="18"/>
      <c r="E6" s="18"/>
      <c r="F6" s="18"/>
      <c r="G6" s="18"/>
      <c r="H6" s="18"/>
      <c r="I6" s="18"/>
      <c r="J6" s="18"/>
      <c r="K6" s="18"/>
      <c r="L6" s="18"/>
      <c r="M6" s="18"/>
      <c r="N6" s="71" t="s">
        <v>233</v>
      </c>
      <c r="O6" s="71" t="s">
        <v>234</v>
      </c>
      <c r="P6" s="71" t="s">
        <v>235</v>
      </c>
      <c r="Q6" s="71" t="s">
        <v>236</v>
      </c>
      <c r="R6" s="71" t="s">
        <v>237</v>
      </c>
      <c r="S6" s="71" t="s">
        <v>238</v>
      </c>
      <c r="T6" s="71" t="s">
        <v>239</v>
      </c>
      <c r="U6" s="71" t="s">
        <v>240</v>
      </c>
      <c r="V6" s="64" t="s">
        <v>233</v>
      </c>
      <c r="W6" s="64" t="s">
        <v>234</v>
      </c>
      <c r="X6" s="64" t="s">
        <v>235</v>
      </c>
      <c r="Y6" s="64" t="s">
        <v>236</v>
      </c>
      <c r="Z6" s="64" t="s">
        <v>237</v>
      </c>
      <c r="AA6" s="64" t="s">
        <v>238</v>
      </c>
      <c r="AB6" s="64" t="s">
        <v>239</v>
      </c>
      <c r="AC6" s="64" t="s">
        <v>240</v>
      </c>
      <c r="AD6" s="18"/>
      <c r="AE6" s="18"/>
      <c r="AF6" s="18"/>
      <c r="AG6" s="18"/>
      <c r="AH6" s="18"/>
      <c r="AI6" s="18"/>
      <c r="AJ6" s="18"/>
      <c r="AK6" s="18"/>
      <c r="AL6" s="18"/>
      <c r="AM6" s="18"/>
      <c r="AN6" s="18"/>
      <c r="AO6" s="18"/>
    </row>
    <row r="7" customFormat="false" ht="19.5" hidden="false" customHeight="true" outlineLevel="0" collapsed="false">
      <c r="B7" s="66" t="s">
        <v>1100</v>
      </c>
      <c r="C7" s="66"/>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row>
    <row r="8" customFormat="false" ht="138" hidden="false" customHeight="true" outlineLevel="0" collapsed="false">
      <c r="B8" s="22" t="s">
        <v>825</v>
      </c>
      <c r="C8" s="22" t="s">
        <v>1101</v>
      </c>
      <c r="D8" s="22" t="s">
        <v>596</v>
      </c>
      <c r="E8" s="16" t="s">
        <v>597</v>
      </c>
      <c r="F8" s="16"/>
      <c r="G8" s="16" t="s">
        <v>1102</v>
      </c>
      <c r="H8" s="16" t="s">
        <v>1103</v>
      </c>
      <c r="I8" s="16" t="s">
        <v>1104</v>
      </c>
      <c r="J8" s="22" t="s">
        <v>826</v>
      </c>
      <c r="K8" s="16" t="s">
        <v>1105</v>
      </c>
      <c r="L8" s="22" t="s">
        <v>1106</v>
      </c>
      <c r="M8" s="22" t="s">
        <v>1107</v>
      </c>
      <c r="N8" s="49"/>
      <c r="O8" s="49"/>
      <c r="P8" s="49"/>
      <c r="Q8" s="49"/>
      <c r="R8" s="49"/>
      <c r="S8" s="49"/>
      <c r="T8" s="49"/>
      <c r="U8" s="49"/>
      <c r="V8" s="72" t="str">
        <f aca="false">IFERROR(IF((SUMIFS('10. Activity Data Log'!$U$7:$U$46,'10. Activity Data Log'!$C$7:$C$46,$D8,'10. Activity Data Log'!$AD$7:$AD$46,"Q1")+SUMIFS('11. Distribution Log'!$W$7:$W$46,'11. Distribution Log'!$C$7:$C$46,$D8,'11. Distribution Log'!$AI$7:$AI$46,"Q1"))=0,"",SUMIFS('10. Activity Data Log'!$U$7:$U$46,'10. Activity Data Log'!$C$7:$C$46,$D8,'10. Activity Data Log'!$AD$7:$AD$46,"Q1")+SUMIFS('11. Distribution Log'!$W$7:$W$46,'11. Distribution Log'!$C$7:$C$46,$D8,'11. Distribution Log'!$AI$7:$AI$46,"Q1")),"")</f>
        <v/>
      </c>
      <c r="W8" s="72" t="str">
        <f aca="false">IFERROR(IF((SUMIFS('10. Activity Data Log'!$U$7:$U$46,'10. Activity Data Log'!$C$7:$C$46,$D8,'10. Activity Data Log'!$AD$7:$AD$46,"Q2")+SUMIFS('11. Distribution Log'!$W$7:$W$46,'11. Distribution Log'!$C$7:$C$46,$D8,'11. Distribution Log'!$AI$7:$AI$46,"Q2"))=0,"",SUMIFS('10. Activity Data Log'!$U$7:$U$46,'10. Activity Data Log'!$C$7:$C$46,$D8,'10. Activity Data Log'!$AD$7:$AD$46,"Q2")+SUMIFS('11. Distribution Log'!$W$7:$W$46,'11. Distribution Log'!$C$7:$C$46,$D8,'11. Distribution Log'!$AI$7:$AI$46,"Q2")),"")</f>
        <v/>
      </c>
      <c r="X8" s="72" t="str">
        <f aca="false">IFERROR(IF((SUMIFS('10. Activity Data Log'!$U$7:$U$46,'10. Activity Data Log'!$C$7:$C$46,$D8,'10. Activity Data Log'!$AD$7:$AD$46,"Q3")+SUMIFS('11. Distribution Log'!$W$7:$W$46,'11. Distribution Log'!$C$7:$C$46,$D8,'11. Distribution Log'!$AI$7:$AI$46,"Q3"))=0,"",SUMIFS('10. Activity Data Log'!$U$7:$U$46,'10. Activity Data Log'!$C$7:$C$46,$D8,'10. Activity Data Log'!$AD$7:$AD$46,"Q3")+SUMIFS('11. Distribution Log'!$W$7:$W$46,'11. Distribution Log'!$C$7:$C$46,$D8,'11. Distribution Log'!$AI$7:$AI$46,"Q3")),"")</f>
        <v/>
      </c>
      <c r="Y8" s="72" t="str">
        <f aca="false">IFERROR(IF((SUMIFS('10. Activity Data Log'!$U$7:$U$46,'10. Activity Data Log'!$C$7:$C$46,$D8,'10. Activity Data Log'!$AD$7:$AD$46,"Q4")+SUMIFS('11. Distribution Log'!$W$7:$W$46,'11. Distribution Log'!$C$7:$C$46,$D8,'11. Distribution Log'!$AI$7:$AI$46,"Q4"))=0,"",SUMIFS('10. Activity Data Log'!$U$7:$U$46,'10. Activity Data Log'!$C$7:$C$46,$D8,'10. Activity Data Log'!$AD$7:$AD$46,"Q4")+SUMIFS('11. Distribution Log'!$W$7:$W$46,'11. Distribution Log'!$C$7:$C$46,$D8,'11. Distribution Log'!$AI$7:$AI$46,"Q4")),"")</f>
        <v/>
      </c>
      <c r="Z8" s="72" t="str">
        <f aca="false">IFERROR(IF((SUMIFS('10. Activity Data Log'!$U$7:$U$46,'10. Activity Data Log'!$C$7:$C$46,$D8,'10. Activity Data Log'!$AD$7:$AD$46,"Q5")+SUMIFS('11. Distribution Log'!$W$7:$W$46,'11. Distribution Log'!$C$7:$C$46,$D8,'11. Distribution Log'!$AI$7:$AI$46,"Q5"))=0,"",SUMIFS('10. Activity Data Log'!$U$7:$U$46,'10. Activity Data Log'!$C$7:$C$46,$D8,'10. Activity Data Log'!$AD$7:$AD$46,"Q5")+SUMIFS('11. Distribution Log'!$W$7:$W$46,'11. Distribution Log'!$C$7:$C$46,$D8,'11. Distribution Log'!$AI$7:$AI$46,"Q5")),"")</f>
        <v/>
      </c>
      <c r="AA8" s="72" t="str">
        <f aca="false">IFERROR(IF((SUMIFS('10. Activity Data Log'!$U$7:$U$46,'10. Activity Data Log'!$C$7:$C$46,$D8,'10. Activity Data Log'!$AD$7:$AD$46,"Q6")+SUMIFS('11. Distribution Log'!$W$7:$W$46,'11. Distribution Log'!$C$7:$C$46,$D8,'11. Distribution Log'!$AI$7:$AI$46,"Q6"))=0,"",SUMIFS('10. Activity Data Log'!$U$7:$U$46,'10. Activity Data Log'!$C$7:$C$46,$D8,'10. Activity Data Log'!$AD$7:$AD$46,"Q6")+SUMIFS('11. Distribution Log'!$W$7:$W$46,'11. Distribution Log'!$C$7:$C$46,$D8,'11. Distribution Log'!$AI$7:$AI$46,"Q6")),"")</f>
        <v/>
      </c>
      <c r="AB8" s="72" t="str">
        <f aca="false">IFERROR(IF((SUMIFS('10. Activity Data Log'!$U$7:$U$46,'10. Activity Data Log'!$C$7:$C$46,$D8,'10. Activity Data Log'!$AD$7:$AD$46,"Q7")+SUMIFS('11. Distribution Log'!$W$7:$W$46,'11. Distribution Log'!$C$7:$C$46,$D8,'11. Distribution Log'!$AI$7:$AI$46,"Q7"))=0,"",SUMIFS('10. Activity Data Log'!$U$7:$U$46,'10. Activity Data Log'!$C$7:$C$46,$D8,'10. Activity Data Log'!$AD$7:$AD$46,"Q7")+SUMIFS('11. Distribution Log'!$W$7:$W$46,'11. Distribution Log'!$C$7:$C$46,$D8,'11. Distribution Log'!$AI$7:$AI$46,"Q7")),"")</f>
        <v/>
      </c>
      <c r="AC8" s="72" t="str">
        <f aca="false">IFERROR(IF((SUMIFS('10. Activity Data Log'!$U$7:$U$46,'10. Activity Data Log'!$C$7:$C$46,$D8,'10. Activity Data Log'!$AD$7:$AD$46,"Q8")+SUMIFS('11. Distribution Log'!$W$7:$W$46,'11. Distribution Log'!$C$7:$C$46,$D8,'11. Distribution Log'!$AI$7:$AI$46,"Q8"))=0,"",SUMIFS('10. Activity Data Log'!$U$7:$U$46,'10. Activity Data Log'!$C$7:$C$46,$D8,'10. Activity Data Log'!$AD$7:$AD$46,"Q8")+SUMIFS('11. Distribution Log'!$W$7:$W$46,'11. Distribution Log'!$C$7:$C$46,$D8,'11. Distribution Log'!$AI$7:$AI$46,"Q8")),"")</f>
        <v/>
      </c>
      <c r="AD8" s="68" t="str">
        <f aca="false">IFERROR(IF(SUMPRODUCT((COLUMN(N8:U8)-COLUMN(N8)+1&lt;='7. IPTT'!$C$3)*N(N8:U8))=0,"",SUMPRODUCT((COLUMN(V8:AC8)-COLUMN(V8)+1&lt;='7. IPTT'!$C$3)*N(V8:AC8))/SUMPRODUCT((COLUMN(N8:U8)-COLUMN(N8)+1&lt;='7. IPTT'!$C$3)*N(N8:U8))),"")</f>
        <v/>
      </c>
      <c r="AE8" s="22" t="str">
        <f aca="false">IFERROR(IF(AD8="","No data yet",IF(AD8&gt;=0.9,"On Track",IF(AD8&gt;=0.7,"Slightly Behind","Behind"))),"")</f>
        <v>No data yet</v>
      </c>
      <c r="AF8" s="16" t="s">
        <v>1108</v>
      </c>
      <c r="AG8" s="16" t="s">
        <v>1108</v>
      </c>
      <c r="AH8" s="73" t="n">
        <v>279.72</v>
      </c>
      <c r="AI8" s="74" t="n">
        <v>39999.96</v>
      </c>
      <c r="AJ8" s="16" t="str">
        <f aca="false">IFERROR(IF(COUNTIF('10. Activity Data Log'!$C$7:$C$46,$D8)=0,"No Data Log entries yet",COUNTIF('10. Activity Data Log'!$C$7:$C$46,$D8)&amp;" entries logged, avg "&amp;TEXT(AVERAGEIF('10. Activity Data Log'!$C$7:$C$46,$D8,'10. Activity Data Log'!$AB$7:$AB$46),"0%")&amp;" of target"),"")</f>
        <v>No Data Log entries yet</v>
      </c>
      <c r="AK8" s="16" t="str">
        <f aca="false">IFERROR(IF(OR(J8="",J8="-"),"During [reporting period], FIVDB delivered: "&amp;E8&amp;" (target: "&amp;I8&amp;"). Source: "&amp;AM8&amp;".","During [reporting period], FIVDB delivered: "&amp;E8&amp;" (target: "&amp;I8&amp;"), contributing to indicator '"&amp;IFERROR(INDEX('7. IPTT'!$F$15:$F$37,MATCH(IF(ISNUMBER(FIND(",",J8)),TRIM(LEFT(J8,FIND(",",J8)-1)),TRIM(J8)),'7. IPTT'!$C$15:$C$37,0)),"")&amp;"' ("&amp;J8&amp;"). Source: "&amp;AM8&amp;"."),"During [reporting period], FIVDB delivered: "&amp;E8&amp;".")</f>
        <v>During [reporting period], FIVDB delivered: Conduct household survey through community volunteers to identify out-of-school and dropout children. (target: All target households surveyed), contributing to indicator 'Number of targeted girls and boys enrolled in non-formal education services' (R1-I1). Source: FIVDB Detailed Budget, row 46 (Household survey through community volunteers).</v>
      </c>
      <c r="AL8" s="16" t="s">
        <v>1109</v>
      </c>
      <c r="AM8" s="16" t="s">
        <v>1110</v>
      </c>
      <c r="AN8" s="22" t="s">
        <v>197</v>
      </c>
      <c r="AO8" s="16" t="s">
        <v>1111</v>
      </c>
    </row>
    <row r="9" customFormat="false" ht="138" hidden="false" customHeight="true" outlineLevel="0" collapsed="false">
      <c r="B9" s="22" t="s">
        <v>825</v>
      </c>
      <c r="C9" s="22" t="s">
        <v>1101</v>
      </c>
      <c r="D9" s="22" t="s">
        <v>599</v>
      </c>
      <c r="E9" s="16" t="s">
        <v>600</v>
      </c>
      <c r="F9" s="16"/>
      <c r="G9" s="16" t="s">
        <v>1112</v>
      </c>
      <c r="H9" s="16" t="s">
        <v>1103</v>
      </c>
      <c r="I9" s="16" t="s">
        <v>1113</v>
      </c>
      <c r="J9" s="22" t="s">
        <v>826</v>
      </c>
      <c r="K9" s="16" t="s">
        <v>1105</v>
      </c>
      <c r="L9" s="22" t="n">
        <v>3</v>
      </c>
      <c r="M9" s="22" t="s">
        <v>1114</v>
      </c>
      <c r="N9" s="49"/>
      <c r="O9" s="49"/>
      <c r="P9" s="49"/>
      <c r="Q9" s="49"/>
      <c r="R9" s="49"/>
      <c r="S9" s="49"/>
      <c r="T9" s="49"/>
      <c r="U9" s="49"/>
      <c r="V9" s="72" t="str">
        <f aca="false">IFERROR(IF((SUMIFS('10. Activity Data Log'!$U$7:$U$46,'10. Activity Data Log'!$C$7:$C$46,$D9,'10. Activity Data Log'!$AD$7:$AD$46,"Q1")+SUMIFS('11. Distribution Log'!$W$7:$W$46,'11. Distribution Log'!$C$7:$C$46,$D9,'11. Distribution Log'!$AI$7:$AI$46,"Q1"))=0,"",SUMIFS('10. Activity Data Log'!$U$7:$U$46,'10. Activity Data Log'!$C$7:$C$46,$D9,'10. Activity Data Log'!$AD$7:$AD$46,"Q1")+SUMIFS('11. Distribution Log'!$W$7:$W$46,'11. Distribution Log'!$C$7:$C$46,$D9,'11. Distribution Log'!$AI$7:$AI$46,"Q1")),"")</f>
        <v/>
      </c>
      <c r="W9" s="72" t="str">
        <f aca="false">IFERROR(IF((SUMIFS('10. Activity Data Log'!$U$7:$U$46,'10. Activity Data Log'!$C$7:$C$46,$D9,'10. Activity Data Log'!$AD$7:$AD$46,"Q2")+SUMIFS('11. Distribution Log'!$W$7:$W$46,'11. Distribution Log'!$C$7:$C$46,$D9,'11. Distribution Log'!$AI$7:$AI$46,"Q2"))=0,"",SUMIFS('10. Activity Data Log'!$U$7:$U$46,'10. Activity Data Log'!$C$7:$C$46,$D9,'10. Activity Data Log'!$AD$7:$AD$46,"Q2")+SUMIFS('11. Distribution Log'!$W$7:$W$46,'11. Distribution Log'!$C$7:$C$46,$D9,'11. Distribution Log'!$AI$7:$AI$46,"Q2")),"")</f>
        <v/>
      </c>
      <c r="X9" s="72" t="str">
        <f aca="false">IFERROR(IF((SUMIFS('10. Activity Data Log'!$U$7:$U$46,'10. Activity Data Log'!$C$7:$C$46,$D9,'10. Activity Data Log'!$AD$7:$AD$46,"Q3")+SUMIFS('11. Distribution Log'!$W$7:$W$46,'11. Distribution Log'!$C$7:$C$46,$D9,'11. Distribution Log'!$AI$7:$AI$46,"Q3"))=0,"",SUMIFS('10. Activity Data Log'!$U$7:$U$46,'10. Activity Data Log'!$C$7:$C$46,$D9,'10. Activity Data Log'!$AD$7:$AD$46,"Q3")+SUMIFS('11. Distribution Log'!$W$7:$W$46,'11. Distribution Log'!$C$7:$C$46,$D9,'11. Distribution Log'!$AI$7:$AI$46,"Q3")),"")</f>
        <v/>
      </c>
      <c r="Y9" s="72" t="str">
        <f aca="false">IFERROR(IF((SUMIFS('10. Activity Data Log'!$U$7:$U$46,'10. Activity Data Log'!$C$7:$C$46,$D9,'10. Activity Data Log'!$AD$7:$AD$46,"Q4")+SUMIFS('11. Distribution Log'!$W$7:$W$46,'11. Distribution Log'!$C$7:$C$46,$D9,'11. Distribution Log'!$AI$7:$AI$46,"Q4"))=0,"",SUMIFS('10. Activity Data Log'!$U$7:$U$46,'10. Activity Data Log'!$C$7:$C$46,$D9,'10. Activity Data Log'!$AD$7:$AD$46,"Q4")+SUMIFS('11. Distribution Log'!$W$7:$W$46,'11. Distribution Log'!$C$7:$C$46,$D9,'11. Distribution Log'!$AI$7:$AI$46,"Q4")),"")</f>
        <v/>
      </c>
      <c r="Z9" s="72" t="str">
        <f aca="false">IFERROR(IF((SUMIFS('10. Activity Data Log'!$U$7:$U$46,'10. Activity Data Log'!$C$7:$C$46,$D9,'10. Activity Data Log'!$AD$7:$AD$46,"Q5")+SUMIFS('11. Distribution Log'!$W$7:$W$46,'11. Distribution Log'!$C$7:$C$46,$D9,'11. Distribution Log'!$AI$7:$AI$46,"Q5"))=0,"",SUMIFS('10. Activity Data Log'!$U$7:$U$46,'10. Activity Data Log'!$C$7:$C$46,$D9,'10. Activity Data Log'!$AD$7:$AD$46,"Q5")+SUMIFS('11. Distribution Log'!$W$7:$W$46,'11. Distribution Log'!$C$7:$C$46,$D9,'11. Distribution Log'!$AI$7:$AI$46,"Q5")),"")</f>
        <v/>
      </c>
      <c r="AA9" s="72" t="str">
        <f aca="false">IFERROR(IF((SUMIFS('10. Activity Data Log'!$U$7:$U$46,'10. Activity Data Log'!$C$7:$C$46,$D9,'10. Activity Data Log'!$AD$7:$AD$46,"Q6")+SUMIFS('11. Distribution Log'!$W$7:$W$46,'11. Distribution Log'!$C$7:$C$46,$D9,'11. Distribution Log'!$AI$7:$AI$46,"Q6"))=0,"",SUMIFS('10. Activity Data Log'!$U$7:$U$46,'10. Activity Data Log'!$C$7:$C$46,$D9,'10. Activity Data Log'!$AD$7:$AD$46,"Q6")+SUMIFS('11. Distribution Log'!$W$7:$W$46,'11. Distribution Log'!$C$7:$C$46,$D9,'11. Distribution Log'!$AI$7:$AI$46,"Q6")),"")</f>
        <v/>
      </c>
      <c r="AB9" s="72" t="str">
        <f aca="false">IFERROR(IF((SUMIFS('10. Activity Data Log'!$U$7:$U$46,'10. Activity Data Log'!$C$7:$C$46,$D9,'10. Activity Data Log'!$AD$7:$AD$46,"Q7")+SUMIFS('11. Distribution Log'!$W$7:$W$46,'11. Distribution Log'!$C$7:$C$46,$D9,'11. Distribution Log'!$AI$7:$AI$46,"Q7"))=0,"",SUMIFS('10. Activity Data Log'!$U$7:$U$46,'10. Activity Data Log'!$C$7:$C$46,$D9,'10. Activity Data Log'!$AD$7:$AD$46,"Q7")+SUMIFS('11. Distribution Log'!$W$7:$W$46,'11. Distribution Log'!$C$7:$C$46,$D9,'11. Distribution Log'!$AI$7:$AI$46,"Q7")),"")</f>
        <v/>
      </c>
      <c r="AC9" s="72" t="str">
        <f aca="false">IFERROR(IF((SUMIFS('10. Activity Data Log'!$U$7:$U$46,'10. Activity Data Log'!$C$7:$C$46,$D9,'10. Activity Data Log'!$AD$7:$AD$46,"Q8")+SUMIFS('11. Distribution Log'!$W$7:$W$46,'11. Distribution Log'!$C$7:$C$46,$D9,'11. Distribution Log'!$AI$7:$AI$46,"Q8"))=0,"",SUMIFS('10. Activity Data Log'!$U$7:$U$46,'10. Activity Data Log'!$C$7:$C$46,$D9,'10. Activity Data Log'!$AD$7:$AD$46,"Q8")+SUMIFS('11. Distribution Log'!$W$7:$W$46,'11. Distribution Log'!$C$7:$C$46,$D9,'11. Distribution Log'!$AI$7:$AI$46,"Q8")),"")</f>
        <v/>
      </c>
      <c r="AD9" s="68" t="str">
        <f aca="false">IFERROR(IF(SUMPRODUCT((COLUMN(N9:U9)-COLUMN(N9)+1&lt;='7. IPTT'!$C$3)*N(N9:U9))=0,"",SUMPRODUCT((COLUMN(V9:AC9)-COLUMN(V9)+1&lt;='7. IPTT'!$C$3)*N(V9:AC9))/SUMPRODUCT((COLUMN(N9:U9)-COLUMN(N9)+1&lt;='7. IPTT'!$C$3)*N(N9:U9))),"")</f>
        <v/>
      </c>
      <c r="AE9" s="22" t="str">
        <f aca="false">IFERROR(IF(AD9="","No data yet",IF(AD9&gt;=0.9,"On Track",IF(AD9&gt;=0.7,"Slightly Behind","Behind"))),"")</f>
        <v>No data yet</v>
      </c>
      <c r="AF9" s="16" t="s">
        <v>1108</v>
      </c>
      <c r="AG9" s="16" t="s">
        <v>1108</v>
      </c>
      <c r="AH9" s="73" t="n">
        <v>279.72</v>
      </c>
      <c r="AI9" s="74" t="n">
        <v>39999.96</v>
      </c>
      <c r="AJ9" s="16" t="str">
        <f aca="false">IFERROR(IF(COUNTIF('10. Activity Data Log'!$C$7:$C$46,$D9)=0,"No Data Log entries yet",COUNTIF('10. Activity Data Log'!$C$7:$C$46,$D9)&amp;" entries logged, avg "&amp;TEXT(AVERAGEIF('10. Activity Data Log'!$C$7:$C$46,$D9,'10. Activity Data Log'!$AB$7:$AB$46),"0%")&amp;" of target"),"")</f>
        <v>No Data Log entries yet</v>
      </c>
      <c r="AK9" s="16" t="str">
        <f aca="false">IFERROR(IF(OR(J9="",J9="-"),"During [reporting period], FIVDB delivered: "&amp;E9&amp;" (target: "&amp;I9&amp;"). Source: "&amp;AM9&amp;".","During [reporting period], FIVDB delivered: "&amp;E9&amp;" (target: "&amp;I9&amp;"), contributing to indicator '"&amp;IFERROR(INDEX('7. IPTT'!$F$15:$F$37,MATCH(IF(ISNUMBER(FIND(",",J9)),TRIM(LEFT(J9,FIND(",",J9)-1)),TRIM(J9)),'7. IPTT'!$C$15:$C$37,0)),"")&amp;"' ("&amp;J9&amp;"). Source: "&amp;AM9&amp;"."),"During [reporting period], FIVDB delivered: "&amp;E9&amp;".")</f>
        <v>During [reporting period], FIVDB delivered: Conduct technical/disability assessment and screening of identified children (minimum 3% disability target), referring complex cases to Humanity &amp; Inclusion (HI) under FIVDB's MoU. (target: Minimum 3% of 1,224 children (~37)), contributing to indicator 'Number of targeted girls and boys enrolled in non-formal education services' (R1-I1). Source: FIVDB Detailed Budget, row 48 (Technical assessment; HI MoU; 3% disability target).</v>
      </c>
      <c r="AL9" s="16" t="s">
        <v>1115</v>
      </c>
      <c r="AM9" s="16" t="s">
        <v>1116</v>
      </c>
      <c r="AN9" s="22" t="s">
        <v>197</v>
      </c>
      <c r="AO9" s="16" t="s">
        <v>1117</v>
      </c>
    </row>
    <row r="10" customFormat="false" ht="111.75" hidden="false" customHeight="true" outlineLevel="0" collapsed="false">
      <c r="B10" s="22" t="s">
        <v>825</v>
      </c>
      <c r="C10" s="22" t="s">
        <v>1101</v>
      </c>
      <c r="D10" s="22" t="s">
        <v>601</v>
      </c>
      <c r="E10" s="16" t="s">
        <v>602</v>
      </c>
      <c r="F10" s="16" t="s">
        <v>1118</v>
      </c>
      <c r="G10" s="16" t="s">
        <v>1112</v>
      </c>
      <c r="H10" s="16" t="s">
        <v>1103</v>
      </c>
      <c r="I10" s="16" t="s">
        <v>1119</v>
      </c>
      <c r="J10" s="22" t="s">
        <v>826</v>
      </c>
      <c r="K10" s="16" t="s">
        <v>1105</v>
      </c>
      <c r="L10" s="22" t="n">
        <v>1</v>
      </c>
      <c r="M10" s="22" t="s">
        <v>1120</v>
      </c>
      <c r="N10" s="49"/>
      <c r="O10" s="49"/>
      <c r="P10" s="49"/>
      <c r="Q10" s="49"/>
      <c r="R10" s="49"/>
      <c r="S10" s="49"/>
      <c r="T10" s="49"/>
      <c r="U10" s="49"/>
      <c r="V10" s="72" t="str">
        <f aca="false">IFERROR(IF((SUMIFS('10. Activity Data Log'!$U$7:$U$46,'10. Activity Data Log'!$C$7:$C$46,$D10,'10. Activity Data Log'!$AD$7:$AD$46,"Q1")+SUMIFS('11. Distribution Log'!$W$7:$W$46,'11. Distribution Log'!$C$7:$C$46,$D10,'11. Distribution Log'!$AI$7:$AI$46,"Q1"))=0,"",SUMIFS('10. Activity Data Log'!$U$7:$U$46,'10. Activity Data Log'!$C$7:$C$46,$D10,'10. Activity Data Log'!$AD$7:$AD$46,"Q1")+SUMIFS('11. Distribution Log'!$W$7:$W$46,'11. Distribution Log'!$C$7:$C$46,$D10,'11. Distribution Log'!$AI$7:$AI$46,"Q1")),"")</f>
        <v/>
      </c>
      <c r="W10" s="72" t="str">
        <f aca="false">IFERROR(IF((SUMIFS('10. Activity Data Log'!$U$7:$U$46,'10. Activity Data Log'!$C$7:$C$46,$D10,'10. Activity Data Log'!$AD$7:$AD$46,"Q2")+SUMIFS('11. Distribution Log'!$W$7:$W$46,'11. Distribution Log'!$C$7:$C$46,$D10,'11. Distribution Log'!$AI$7:$AI$46,"Q2"))=0,"",SUMIFS('10. Activity Data Log'!$U$7:$U$46,'10. Activity Data Log'!$C$7:$C$46,$D10,'10. Activity Data Log'!$AD$7:$AD$46,"Q2")+SUMIFS('11. Distribution Log'!$W$7:$W$46,'11. Distribution Log'!$C$7:$C$46,$D10,'11. Distribution Log'!$AI$7:$AI$46,"Q2")),"")</f>
        <v/>
      </c>
      <c r="X10" s="72" t="str">
        <f aca="false">IFERROR(IF((SUMIFS('10. Activity Data Log'!$U$7:$U$46,'10. Activity Data Log'!$C$7:$C$46,$D10,'10. Activity Data Log'!$AD$7:$AD$46,"Q3")+SUMIFS('11. Distribution Log'!$W$7:$W$46,'11. Distribution Log'!$C$7:$C$46,$D10,'11. Distribution Log'!$AI$7:$AI$46,"Q3"))=0,"",SUMIFS('10. Activity Data Log'!$U$7:$U$46,'10. Activity Data Log'!$C$7:$C$46,$D10,'10. Activity Data Log'!$AD$7:$AD$46,"Q3")+SUMIFS('11. Distribution Log'!$W$7:$W$46,'11. Distribution Log'!$C$7:$C$46,$D10,'11. Distribution Log'!$AI$7:$AI$46,"Q3")),"")</f>
        <v/>
      </c>
      <c r="Y10" s="72" t="str">
        <f aca="false">IFERROR(IF((SUMIFS('10. Activity Data Log'!$U$7:$U$46,'10. Activity Data Log'!$C$7:$C$46,$D10,'10. Activity Data Log'!$AD$7:$AD$46,"Q4")+SUMIFS('11. Distribution Log'!$W$7:$W$46,'11. Distribution Log'!$C$7:$C$46,$D10,'11. Distribution Log'!$AI$7:$AI$46,"Q4"))=0,"",SUMIFS('10. Activity Data Log'!$U$7:$U$46,'10. Activity Data Log'!$C$7:$C$46,$D10,'10. Activity Data Log'!$AD$7:$AD$46,"Q4")+SUMIFS('11. Distribution Log'!$W$7:$W$46,'11. Distribution Log'!$C$7:$C$46,$D10,'11. Distribution Log'!$AI$7:$AI$46,"Q4")),"")</f>
        <v/>
      </c>
      <c r="Z10" s="72" t="str">
        <f aca="false">IFERROR(IF((SUMIFS('10. Activity Data Log'!$U$7:$U$46,'10. Activity Data Log'!$C$7:$C$46,$D10,'10. Activity Data Log'!$AD$7:$AD$46,"Q5")+SUMIFS('11. Distribution Log'!$W$7:$W$46,'11. Distribution Log'!$C$7:$C$46,$D10,'11. Distribution Log'!$AI$7:$AI$46,"Q5"))=0,"",SUMIFS('10. Activity Data Log'!$U$7:$U$46,'10. Activity Data Log'!$C$7:$C$46,$D10,'10. Activity Data Log'!$AD$7:$AD$46,"Q5")+SUMIFS('11. Distribution Log'!$W$7:$W$46,'11. Distribution Log'!$C$7:$C$46,$D10,'11. Distribution Log'!$AI$7:$AI$46,"Q5")),"")</f>
        <v/>
      </c>
      <c r="AA10" s="72" t="str">
        <f aca="false">IFERROR(IF((SUMIFS('10. Activity Data Log'!$U$7:$U$46,'10. Activity Data Log'!$C$7:$C$46,$D10,'10. Activity Data Log'!$AD$7:$AD$46,"Q6")+SUMIFS('11. Distribution Log'!$W$7:$W$46,'11. Distribution Log'!$C$7:$C$46,$D10,'11. Distribution Log'!$AI$7:$AI$46,"Q6"))=0,"",SUMIFS('10. Activity Data Log'!$U$7:$U$46,'10. Activity Data Log'!$C$7:$C$46,$D10,'10. Activity Data Log'!$AD$7:$AD$46,"Q6")+SUMIFS('11. Distribution Log'!$W$7:$W$46,'11. Distribution Log'!$C$7:$C$46,$D10,'11. Distribution Log'!$AI$7:$AI$46,"Q6")),"")</f>
        <v/>
      </c>
      <c r="AB10" s="72" t="str">
        <f aca="false">IFERROR(IF((SUMIFS('10. Activity Data Log'!$U$7:$U$46,'10. Activity Data Log'!$C$7:$C$46,$D10,'10. Activity Data Log'!$AD$7:$AD$46,"Q7")+SUMIFS('11. Distribution Log'!$W$7:$W$46,'11. Distribution Log'!$C$7:$C$46,$D10,'11. Distribution Log'!$AI$7:$AI$46,"Q7"))=0,"",SUMIFS('10. Activity Data Log'!$U$7:$U$46,'10. Activity Data Log'!$C$7:$C$46,$D10,'10. Activity Data Log'!$AD$7:$AD$46,"Q7")+SUMIFS('11. Distribution Log'!$W$7:$W$46,'11. Distribution Log'!$C$7:$C$46,$D10,'11. Distribution Log'!$AI$7:$AI$46,"Q7")),"")</f>
        <v/>
      </c>
      <c r="AC10" s="72" t="str">
        <f aca="false">IFERROR(IF((SUMIFS('10. Activity Data Log'!$U$7:$U$46,'10. Activity Data Log'!$C$7:$C$46,$D10,'10. Activity Data Log'!$AD$7:$AD$46,"Q8")+SUMIFS('11. Distribution Log'!$W$7:$W$46,'11. Distribution Log'!$C$7:$C$46,$D10,'11. Distribution Log'!$AI$7:$AI$46,"Q8"))=0,"",SUMIFS('10. Activity Data Log'!$U$7:$U$46,'10. Activity Data Log'!$C$7:$C$46,$D10,'10. Activity Data Log'!$AD$7:$AD$46,"Q8")+SUMIFS('11. Distribution Log'!$W$7:$W$46,'11. Distribution Log'!$C$7:$C$46,$D10,'11. Distribution Log'!$AI$7:$AI$46,"Q8")),"")</f>
        <v/>
      </c>
      <c r="AD10" s="68" t="str">
        <f aca="false">IFERROR(IF(SUMPRODUCT((COLUMN(N10:U10)-COLUMN(N10)+1&lt;='7. IPTT'!$C$3)*N(N10:U10))=0,"",SUMPRODUCT((COLUMN(V10:AC10)-COLUMN(V10)+1&lt;='7. IPTT'!$C$3)*N(V10:AC10))/SUMPRODUCT((COLUMN(N10:U10)-COLUMN(N10)+1&lt;='7. IPTT'!$C$3)*N(N10:U10))),"")</f>
        <v/>
      </c>
      <c r="AE10" s="22" t="str">
        <f aca="false">IFERROR(IF(AD10="","No data yet",IF(AD10&gt;=0.9,"On Track",IF(AD10&gt;=0.7,"Slightly Behind","Behind"))),"")</f>
        <v>No data yet</v>
      </c>
      <c r="AF10" s="16" t="s">
        <v>1108</v>
      </c>
      <c r="AG10" s="16" t="s">
        <v>1108</v>
      </c>
      <c r="AH10" s="73" t="n">
        <v>279.72</v>
      </c>
      <c r="AI10" s="74" t="n">
        <v>39999.96</v>
      </c>
      <c r="AJ10" s="16" t="str">
        <f aca="false">IFERROR(IF(COUNTIF('10. Activity Data Log'!$C$7:$C$46,$D10)=0,"No Data Log entries yet",COUNTIF('10. Activity Data Log'!$C$7:$C$46,$D10)&amp;" entries logged, avg "&amp;TEXT(AVERAGEIF('10. Activity Data Log'!$C$7:$C$46,$D10,'10. Activity Data Log'!$AB$7:$AB$46),"0%")&amp;" of target"),"")</f>
        <v>No Data Log entries yet</v>
      </c>
      <c r="AK10" s="16" t="str">
        <f aca="false">IFERROR(IF(OR(J10="",J10="-"),"During [reporting period], FIVDB delivered: "&amp;E10&amp;" (target: "&amp;I10&amp;"). Source: "&amp;AM10&amp;".","During [reporting period], FIVDB delivered: "&amp;E10&amp;" (target: "&amp;I10&amp;"), contributing to indicator '"&amp;IFERROR(INDEX('7. IPTT'!$F$15:$F$37,MATCH(IF(ISNUMBER(FIND(",",J10)),TRIM(LEFT(J10,FIND(",",J10)-1)),TRIM(J10)),'7. IPTT'!$C$15:$C$37,0)),"")&amp;"' ("&amp;J10&amp;"). Source: "&amp;AM10&amp;"."),"During [reporting period], FIVDB delivered: "&amp;E10&amp;".")</f>
        <v>During [reporting period], FIVDB delivered: Print placement/assessment and disability-screening tools. (target: 1 lumpsum print run, 4 times), contributing to indicator 'Number of targeted girls and boys enrolled in non-formal education services' (R1-I1). Source: FIVDB Detailed Budget, row 49 (Printing of tools for placement/assessment/disability screening).</v>
      </c>
      <c r="AL10" s="16" t="s">
        <v>1121</v>
      </c>
      <c r="AM10" s="16" t="s">
        <v>1122</v>
      </c>
      <c r="AN10" s="22" t="s">
        <v>197</v>
      </c>
      <c r="AO10" s="16" t="s">
        <v>1123</v>
      </c>
    </row>
    <row r="11" customFormat="false" ht="19.5" hidden="false" customHeight="true" outlineLevel="0" collapsed="false">
      <c r="B11" s="66" t="s">
        <v>1124</v>
      </c>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row>
    <row r="12" customFormat="false" ht="99" hidden="false" customHeight="true" outlineLevel="0" collapsed="false">
      <c r="B12" s="22" t="s">
        <v>825</v>
      </c>
      <c r="C12" s="22" t="s">
        <v>1125</v>
      </c>
      <c r="D12" s="22" t="s">
        <v>603</v>
      </c>
      <c r="E12" s="16" t="s">
        <v>604</v>
      </c>
      <c r="F12" s="16"/>
      <c r="G12" s="16" t="s">
        <v>1102</v>
      </c>
      <c r="H12" s="16" t="s">
        <v>1103</v>
      </c>
      <c r="I12" s="16" t="s">
        <v>1126</v>
      </c>
      <c r="J12" s="22" t="s">
        <v>853</v>
      </c>
      <c r="K12" s="16" t="s">
        <v>1127</v>
      </c>
      <c r="L12" s="22" t="n">
        <v>17</v>
      </c>
      <c r="M12" s="22" t="s">
        <v>1128</v>
      </c>
      <c r="N12" s="49"/>
      <c r="O12" s="49"/>
      <c r="P12" s="49"/>
      <c r="Q12" s="49"/>
      <c r="R12" s="49"/>
      <c r="S12" s="49"/>
      <c r="T12" s="49"/>
      <c r="U12" s="49"/>
      <c r="V12" s="72" t="str">
        <f aca="false">IFERROR(IF((SUMIFS('10. Activity Data Log'!$U$7:$U$46,'10. Activity Data Log'!$C$7:$C$46,$D12,'10. Activity Data Log'!$AD$7:$AD$46,"Q1")+SUMIFS('11. Distribution Log'!$W$7:$W$46,'11. Distribution Log'!$C$7:$C$46,$D12,'11. Distribution Log'!$AI$7:$AI$46,"Q1"))=0,"",SUMIFS('10. Activity Data Log'!$U$7:$U$46,'10. Activity Data Log'!$C$7:$C$46,$D12,'10. Activity Data Log'!$AD$7:$AD$46,"Q1")+SUMIFS('11. Distribution Log'!$W$7:$W$46,'11. Distribution Log'!$C$7:$C$46,$D12,'11. Distribution Log'!$AI$7:$AI$46,"Q1")),"")</f>
        <v/>
      </c>
      <c r="W12" s="72" t="str">
        <f aca="false">IFERROR(IF((SUMIFS('10. Activity Data Log'!$U$7:$U$46,'10. Activity Data Log'!$C$7:$C$46,$D12,'10. Activity Data Log'!$AD$7:$AD$46,"Q2")+SUMIFS('11. Distribution Log'!$W$7:$W$46,'11. Distribution Log'!$C$7:$C$46,$D12,'11. Distribution Log'!$AI$7:$AI$46,"Q2"))=0,"",SUMIFS('10. Activity Data Log'!$U$7:$U$46,'10. Activity Data Log'!$C$7:$C$46,$D12,'10. Activity Data Log'!$AD$7:$AD$46,"Q2")+SUMIFS('11. Distribution Log'!$W$7:$W$46,'11. Distribution Log'!$C$7:$C$46,$D12,'11. Distribution Log'!$AI$7:$AI$46,"Q2")),"")</f>
        <v/>
      </c>
      <c r="X12" s="72" t="str">
        <f aca="false">IFERROR(IF((SUMIFS('10. Activity Data Log'!$U$7:$U$46,'10. Activity Data Log'!$C$7:$C$46,$D12,'10. Activity Data Log'!$AD$7:$AD$46,"Q3")+SUMIFS('11. Distribution Log'!$W$7:$W$46,'11. Distribution Log'!$C$7:$C$46,$D12,'11. Distribution Log'!$AI$7:$AI$46,"Q3"))=0,"",SUMIFS('10. Activity Data Log'!$U$7:$U$46,'10. Activity Data Log'!$C$7:$C$46,$D12,'10. Activity Data Log'!$AD$7:$AD$46,"Q3")+SUMIFS('11. Distribution Log'!$W$7:$W$46,'11. Distribution Log'!$C$7:$C$46,$D12,'11. Distribution Log'!$AI$7:$AI$46,"Q3")),"")</f>
        <v/>
      </c>
      <c r="Y12" s="72" t="str">
        <f aca="false">IFERROR(IF((SUMIFS('10. Activity Data Log'!$U$7:$U$46,'10. Activity Data Log'!$C$7:$C$46,$D12,'10. Activity Data Log'!$AD$7:$AD$46,"Q4")+SUMIFS('11. Distribution Log'!$W$7:$W$46,'11. Distribution Log'!$C$7:$C$46,$D12,'11. Distribution Log'!$AI$7:$AI$46,"Q4"))=0,"",SUMIFS('10. Activity Data Log'!$U$7:$U$46,'10. Activity Data Log'!$C$7:$C$46,$D12,'10. Activity Data Log'!$AD$7:$AD$46,"Q4")+SUMIFS('11. Distribution Log'!$W$7:$W$46,'11. Distribution Log'!$C$7:$C$46,$D12,'11. Distribution Log'!$AI$7:$AI$46,"Q4")),"")</f>
        <v/>
      </c>
      <c r="Z12" s="72" t="str">
        <f aca="false">IFERROR(IF((SUMIFS('10. Activity Data Log'!$U$7:$U$46,'10. Activity Data Log'!$C$7:$C$46,$D12,'10. Activity Data Log'!$AD$7:$AD$46,"Q5")+SUMIFS('11. Distribution Log'!$W$7:$W$46,'11. Distribution Log'!$C$7:$C$46,$D12,'11. Distribution Log'!$AI$7:$AI$46,"Q5"))=0,"",SUMIFS('10. Activity Data Log'!$U$7:$U$46,'10. Activity Data Log'!$C$7:$C$46,$D12,'10. Activity Data Log'!$AD$7:$AD$46,"Q5")+SUMIFS('11. Distribution Log'!$W$7:$W$46,'11. Distribution Log'!$C$7:$C$46,$D12,'11. Distribution Log'!$AI$7:$AI$46,"Q5")),"")</f>
        <v/>
      </c>
      <c r="AA12" s="72" t="str">
        <f aca="false">IFERROR(IF((SUMIFS('10. Activity Data Log'!$U$7:$U$46,'10. Activity Data Log'!$C$7:$C$46,$D12,'10. Activity Data Log'!$AD$7:$AD$46,"Q6")+SUMIFS('11. Distribution Log'!$W$7:$W$46,'11. Distribution Log'!$C$7:$C$46,$D12,'11. Distribution Log'!$AI$7:$AI$46,"Q6"))=0,"",SUMIFS('10. Activity Data Log'!$U$7:$U$46,'10. Activity Data Log'!$C$7:$C$46,$D12,'10. Activity Data Log'!$AD$7:$AD$46,"Q6")+SUMIFS('11. Distribution Log'!$W$7:$W$46,'11. Distribution Log'!$C$7:$C$46,$D12,'11. Distribution Log'!$AI$7:$AI$46,"Q6")),"")</f>
        <v/>
      </c>
      <c r="AB12" s="72" t="str">
        <f aca="false">IFERROR(IF((SUMIFS('10. Activity Data Log'!$U$7:$U$46,'10. Activity Data Log'!$C$7:$C$46,$D12,'10. Activity Data Log'!$AD$7:$AD$46,"Q7")+SUMIFS('11. Distribution Log'!$W$7:$W$46,'11. Distribution Log'!$C$7:$C$46,$D12,'11. Distribution Log'!$AI$7:$AI$46,"Q7"))=0,"",SUMIFS('10. Activity Data Log'!$U$7:$U$46,'10. Activity Data Log'!$C$7:$C$46,$D12,'10. Activity Data Log'!$AD$7:$AD$46,"Q7")+SUMIFS('11. Distribution Log'!$W$7:$W$46,'11. Distribution Log'!$C$7:$C$46,$D12,'11. Distribution Log'!$AI$7:$AI$46,"Q7")),"")</f>
        <v/>
      </c>
      <c r="AC12" s="72" t="str">
        <f aca="false">IFERROR(IF((SUMIFS('10. Activity Data Log'!$U$7:$U$46,'10. Activity Data Log'!$C$7:$C$46,$D12,'10. Activity Data Log'!$AD$7:$AD$46,"Q8")+SUMIFS('11. Distribution Log'!$W$7:$W$46,'11. Distribution Log'!$C$7:$C$46,$D12,'11. Distribution Log'!$AI$7:$AI$46,"Q8"))=0,"",SUMIFS('10. Activity Data Log'!$U$7:$U$46,'10. Activity Data Log'!$C$7:$C$46,$D12,'10. Activity Data Log'!$AD$7:$AD$46,"Q8")+SUMIFS('11. Distribution Log'!$W$7:$W$46,'11. Distribution Log'!$C$7:$C$46,$D12,'11. Distribution Log'!$AI$7:$AI$46,"Q8")),"")</f>
        <v/>
      </c>
      <c r="AD12" s="68" t="str">
        <f aca="false">IFERROR(IF(SUMPRODUCT((COLUMN(N12:U12)-COLUMN(N12)+1&lt;='7. IPTT'!$C$3)*N(N12:U12))=0,"",SUMPRODUCT((COLUMN(V12:AC12)-COLUMN(V12)+1&lt;='7. IPTT'!$C$3)*N(V12:AC12))/SUMPRODUCT((COLUMN(N12:U12)-COLUMN(N12)+1&lt;='7. IPTT'!$C$3)*N(N12:U12))),"")</f>
        <v/>
      </c>
      <c r="AE12" s="22" t="str">
        <f aca="false">IFERROR(IF(AD12="","No data yet",IF(AD12&gt;=0.9,"On Track",IF(AD12&gt;=0.7,"Slightly Behind","Behind"))),"")</f>
        <v>No data yet</v>
      </c>
      <c r="AF12" s="16" t="s">
        <v>1129</v>
      </c>
      <c r="AG12" s="16" t="s">
        <v>1129</v>
      </c>
      <c r="AH12" s="73" t="n">
        <v>193693.01</v>
      </c>
      <c r="AI12" s="74" t="n">
        <v>27698100.43</v>
      </c>
      <c r="AJ12" s="16" t="str">
        <f aca="false">IFERROR(IF(COUNTIF('10. Activity Data Log'!$C$7:$C$46,$D12)=0,"No Data Log entries yet",COUNTIF('10. Activity Data Log'!$C$7:$C$46,$D12)&amp;" entries logged, avg "&amp;TEXT(AVERAGEIF('10. Activity Data Log'!$C$7:$C$46,$D12,'10. Activity Data Log'!$AB$7:$AB$46),"0%")&amp;" of target"),"")</f>
        <v>No Data Log entries yet</v>
      </c>
      <c r="AK12" s="16" t="str">
        <f aca="false">IFERROR(IF(OR(J12="",J12="-"),"During [reporting period], FIVDB delivered: "&amp;E12&amp;" (target: "&amp;I12&amp;"). Source: "&amp;AM12&amp;".","During [reporting period], FIVDB delivered: "&amp;E12&amp;" (target: "&amp;I12&amp;"), contributing to indicator '"&amp;IFERROR(INDEX('7. IPTT'!$F$15:$F$37,MATCH(IF(ISNUMBER(FIND(",",J12)),TRIM(LEFT(J12,FIND(",",J12)-1)),TRIM(J12)),'7. IPTT'!$C$15:$C$37,0)),"")&amp;"' ("&amp;J12&amp;"). Source: "&amp;AM12&amp;"."),"During [reporting period], FIVDB delivered: "&amp;E12&amp;".")</f>
        <v>During [reporting period], FIVDB delivered: Provide monthly incentives to host-community teacher volunteers. (target: 17 volunteers x 22 months), contributing to indicator 'Number of teachers provided with teaching aids/materials' (R1-I3). Source: FIVDB Detailed Budget, row 52 (Incentives for teacher volunteers from host community).</v>
      </c>
      <c r="AL12" s="16" t="s">
        <v>1130</v>
      </c>
      <c r="AM12" s="16" t="s">
        <v>1131</v>
      </c>
      <c r="AN12" s="22" t="s">
        <v>197</v>
      </c>
      <c r="AO12" s="16" t="s">
        <v>1132</v>
      </c>
    </row>
    <row r="13" customFormat="false" ht="99" hidden="false" customHeight="true" outlineLevel="0" collapsed="false">
      <c r="B13" s="22" t="s">
        <v>825</v>
      </c>
      <c r="C13" s="22" t="s">
        <v>1125</v>
      </c>
      <c r="D13" s="22" t="s">
        <v>606</v>
      </c>
      <c r="E13" s="16" t="s">
        <v>607</v>
      </c>
      <c r="F13" s="16"/>
      <c r="G13" s="16" t="s">
        <v>1102</v>
      </c>
      <c r="H13" s="16" t="s">
        <v>1103</v>
      </c>
      <c r="I13" s="16" t="s">
        <v>1133</v>
      </c>
      <c r="J13" s="22" t="s">
        <v>853</v>
      </c>
      <c r="K13" s="16" t="s">
        <v>1127</v>
      </c>
      <c r="L13" s="22" t="n">
        <v>51</v>
      </c>
      <c r="M13" s="22" t="s">
        <v>1128</v>
      </c>
      <c r="N13" s="49"/>
      <c r="O13" s="49"/>
      <c r="P13" s="49"/>
      <c r="Q13" s="49"/>
      <c r="R13" s="49"/>
      <c r="S13" s="49"/>
      <c r="T13" s="49"/>
      <c r="U13" s="49"/>
      <c r="V13" s="72" t="str">
        <f aca="false">IFERROR(IF((SUMIFS('10. Activity Data Log'!$U$7:$U$46,'10. Activity Data Log'!$C$7:$C$46,$D13,'10. Activity Data Log'!$AD$7:$AD$46,"Q1")+SUMIFS('11. Distribution Log'!$W$7:$W$46,'11. Distribution Log'!$C$7:$C$46,$D13,'11. Distribution Log'!$AI$7:$AI$46,"Q1"))=0,"",SUMIFS('10. Activity Data Log'!$U$7:$U$46,'10. Activity Data Log'!$C$7:$C$46,$D13,'10. Activity Data Log'!$AD$7:$AD$46,"Q1")+SUMIFS('11. Distribution Log'!$W$7:$W$46,'11. Distribution Log'!$C$7:$C$46,$D13,'11. Distribution Log'!$AI$7:$AI$46,"Q1")),"")</f>
        <v/>
      </c>
      <c r="W13" s="72" t="str">
        <f aca="false">IFERROR(IF((SUMIFS('10. Activity Data Log'!$U$7:$U$46,'10. Activity Data Log'!$C$7:$C$46,$D13,'10. Activity Data Log'!$AD$7:$AD$46,"Q2")+SUMIFS('11. Distribution Log'!$W$7:$W$46,'11. Distribution Log'!$C$7:$C$46,$D13,'11. Distribution Log'!$AI$7:$AI$46,"Q2"))=0,"",SUMIFS('10. Activity Data Log'!$U$7:$U$46,'10. Activity Data Log'!$C$7:$C$46,$D13,'10. Activity Data Log'!$AD$7:$AD$46,"Q2")+SUMIFS('11. Distribution Log'!$W$7:$W$46,'11. Distribution Log'!$C$7:$C$46,$D13,'11. Distribution Log'!$AI$7:$AI$46,"Q2")),"")</f>
        <v/>
      </c>
      <c r="X13" s="72" t="str">
        <f aca="false">IFERROR(IF((SUMIFS('10. Activity Data Log'!$U$7:$U$46,'10. Activity Data Log'!$C$7:$C$46,$D13,'10. Activity Data Log'!$AD$7:$AD$46,"Q3")+SUMIFS('11. Distribution Log'!$W$7:$W$46,'11. Distribution Log'!$C$7:$C$46,$D13,'11. Distribution Log'!$AI$7:$AI$46,"Q3"))=0,"",SUMIFS('10. Activity Data Log'!$U$7:$U$46,'10. Activity Data Log'!$C$7:$C$46,$D13,'10. Activity Data Log'!$AD$7:$AD$46,"Q3")+SUMIFS('11. Distribution Log'!$W$7:$W$46,'11. Distribution Log'!$C$7:$C$46,$D13,'11. Distribution Log'!$AI$7:$AI$46,"Q3")),"")</f>
        <v/>
      </c>
      <c r="Y13" s="72" t="str">
        <f aca="false">IFERROR(IF((SUMIFS('10. Activity Data Log'!$U$7:$U$46,'10. Activity Data Log'!$C$7:$C$46,$D13,'10. Activity Data Log'!$AD$7:$AD$46,"Q4")+SUMIFS('11. Distribution Log'!$W$7:$W$46,'11. Distribution Log'!$C$7:$C$46,$D13,'11. Distribution Log'!$AI$7:$AI$46,"Q4"))=0,"",SUMIFS('10. Activity Data Log'!$U$7:$U$46,'10. Activity Data Log'!$C$7:$C$46,$D13,'10. Activity Data Log'!$AD$7:$AD$46,"Q4")+SUMIFS('11. Distribution Log'!$W$7:$W$46,'11. Distribution Log'!$C$7:$C$46,$D13,'11. Distribution Log'!$AI$7:$AI$46,"Q4")),"")</f>
        <v/>
      </c>
      <c r="Z13" s="72" t="str">
        <f aca="false">IFERROR(IF((SUMIFS('10. Activity Data Log'!$U$7:$U$46,'10. Activity Data Log'!$C$7:$C$46,$D13,'10. Activity Data Log'!$AD$7:$AD$46,"Q5")+SUMIFS('11. Distribution Log'!$W$7:$W$46,'11. Distribution Log'!$C$7:$C$46,$D13,'11. Distribution Log'!$AI$7:$AI$46,"Q5"))=0,"",SUMIFS('10. Activity Data Log'!$U$7:$U$46,'10. Activity Data Log'!$C$7:$C$46,$D13,'10. Activity Data Log'!$AD$7:$AD$46,"Q5")+SUMIFS('11. Distribution Log'!$W$7:$W$46,'11. Distribution Log'!$C$7:$C$46,$D13,'11. Distribution Log'!$AI$7:$AI$46,"Q5")),"")</f>
        <v/>
      </c>
      <c r="AA13" s="72" t="str">
        <f aca="false">IFERROR(IF((SUMIFS('10. Activity Data Log'!$U$7:$U$46,'10. Activity Data Log'!$C$7:$C$46,$D13,'10. Activity Data Log'!$AD$7:$AD$46,"Q6")+SUMIFS('11. Distribution Log'!$W$7:$W$46,'11. Distribution Log'!$C$7:$C$46,$D13,'11. Distribution Log'!$AI$7:$AI$46,"Q6"))=0,"",SUMIFS('10. Activity Data Log'!$U$7:$U$46,'10. Activity Data Log'!$C$7:$C$46,$D13,'10. Activity Data Log'!$AD$7:$AD$46,"Q6")+SUMIFS('11. Distribution Log'!$W$7:$W$46,'11. Distribution Log'!$C$7:$C$46,$D13,'11. Distribution Log'!$AI$7:$AI$46,"Q6")),"")</f>
        <v/>
      </c>
      <c r="AB13" s="72" t="str">
        <f aca="false">IFERROR(IF((SUMIFS('10. Activity Data Log'!$U$7:$U$46,'10. Activity Data Log'!$C$7:$C$46,$D13,'10. Activity Data Log'!$AD$7:$AD$46,"Q7")+SUMIFS('11. Distribution Log'!$W$7:$W$46,'11. Distribution Log'!$C$7:$C$46,$D13,'11. Distribution Log'!$AI$7:$AI$46,"Q7"))=0,"",SUMIFS('10. Activity Data Log'!$U$7:$U$46,'10. Activity Data Log'!$C$7:$C$46,$D13,'10. Activity Data Log'!$AD$7:$AD$46,"Q7")+SUMIFS('11. Distribution Log'!$W$7:$W$46,'11. Distribution Log'!$C$7:$C$46,$D13,'11. Distribution Log'!$AI$7:$AI$46,"Q7")),"")</f>
        <v/>
      </c>
      <c r="AC13" s="72" t="str">
        <f aca="false">IFERROR(IF((SUMIFS('10. Activity Data Log'!$U$7:$U$46,'10. Activity Data Log'!$C$7:$C$46,$D13,'10. Activity Data Log'!$AD$7:$AD$46,"Q8")+SUMIFS('11. Distribution Log'!$W$7:$W$46,'11. Distribution Log'!$C$7:$C$46,$D13,'11. Distribution Log'!$AI$7:$AI$46,"Q8"))=0,"",SUMIFS('10. Activity Data Log'!$U$7:$U$46,'10. Activity Data Log'!$C$7:$C$46,$D13,'10. Activity Data Log'!$AD$7:$AD$46,"Q8")+SUMIFS('11. Distribution Log'!$W$7:$W$46,'11. Distribution Log'!$C$7:$C$46,$D13,'11. Distribution Log'!$AI$7:$AI$46,"Q8")),"")</f>
        <v/>
      </c>
      <c r="AD13" s="68" t="str">
        <f aca="false">IFERROR(IF(SUMPRODUCT((COLUMN(N13:U13)-COLUMN(N13)+1&lt;='7. IPTT'!$C$3)*N(N13:U13))=0,"",SUMPRODUCT((COLUMN(V13:AC13)-COLUMN(V13)+1&lt;='7. IPTT'!$C$3)*N(V13:AC13))/SUMPRODUCT((COLUMN(N13:U13)-COLUMN(N13)+1&lt;='7. IPTT'!$C$3)*N(N13:U13))),"")</f>
        <v/>
      </c>
      <c r="AE13" s="22" t="str">
        <f aca="false">IFERROR(IF(AD13="","No data yet",IF(AD13&gt;=0.9,"On Track",IF(AD13&gt;=0.7,"Slightly Behind","Behind"))),"")</f>
        <v>No data yet</v>
      </c>
      <c r="AF13" s="16" t="s">
        <v>1129</v>
      </c>
      <c r="AG13" s="16" t="s">
        <v>1129</v>
      </c>
      <c r="AH13" s="73" t="n">
        <v>193693.01</v>
      </c>
      <c r="AI13" s="74" t="n">
        <v>27698100.43</v>
      </c>
      <c r="AJ13" s="16" t="str">
        <f aca="false">IFERROR(IF(COUNTIF('10. Activity Data Log'!$C$7:$C$46,$D13)=0,"No Data Log entries yet",COUNTIF('10. Activity Data Log'!$C$7:$C$46,$D13)&amp;" entries logged, avg "&amp;TEXT(AVERAGEIF('10. Activity Data Log'!$C$7:$C$46,$D13,'10. Activity Data Log'!$AB$7:$AB$46),"0%")&amp;" of target"),"")</f>
        <v>No Data Log entries yet</v>
      </c>
      <c r="AK13" s="16" t="str">
        <f aca="false">IFERROR(IF(OR(J13="",J13="-"),"During [reporting period], FIVDB delivered: "&amp;E13&amp;" (target: "&amp;I13&amp;"). Source: "&amp;AM13&amp;".","During [reporting period], FIVDB delivered: "&amp;E13&amp;" (target: "&amp;I13&amp;"), contributing to indicator '"&amp;IFERROR(INDEX('7. IPTT'!$F$15:$F$37,MATCH(IF(ISNUMBER(FIND(",",J13)),TRIM(LEFT(J13,FIND(",",J13)-1)),TRIM(J13)),'7. IPTT'!$C$15:$C$37,0)),"")&amp;"' ("&amp;J13&amp;"). Source: "&amp;AM13&amp;"."),"During [reporting period], FIVDB delivered: "&amp;E13&amp;".")</f>
        <v>During [reporting period], FIVDB delivered: Provide monthly incentives to refugee-community teacher volunteers. (target: 51 volunteers x 22 months), contributing to indicator 'Number of teachers provided with teaching aids/materials' (R1-I3). Source: FIVDB Detailed Budget, row 53 (Incentives for teacher volunteers from refugee community).</v>
      </c>
      <c r="AL13" s="16" t="s">
        <v>1130</v>
      </c>
      <c r="AM13" s="16" t="s">
        <v>1134</v>
      </c>
      <c r="AN13" s="22" t="s">
        <v>197</v>
      </c>
      <c r="AO13" s="16" t="s">
        <v>1135</v>
      </c>
    </row>
    <row r="14" customFormat="false" ht="111.75" hidden="false" customHeight="true" outlineLevel="0" collapsed="false">
      <c r="B14" s="22" t="s">
        <v>825</v>
      </c>
      <c r="C14" s="22" t="s">
        <v>1125</v>
      </c>
      <c r="D14" s="22" t="s">
        <v>608</v>
      </c>
      <c r="E14" s="16" t="s">
        <v>609</v>
      </c>
      <c r="F14" s="16" t="s">
        <v>1136</v>
      </c>
      <c r="G14" s="16" t="s">
        <v>1137</v>
      </c>
      <c r="H14" s="16" t="s">
        <v>1103</v>
      </c>
      <c r="I14" s="16" t="s">
        <v>1138</v>
      </c>
      <c r="J14" s="22" t="s">
        <v>864</v>
      </c>
      <c r="K14" s="16" t="s">
        <v>1139</v>
      </c>
      <c r="L14" s="22" t="n">
        <v>1224</v>
      </c>
      <c r="M14" s="22" t="s">
        <v>1114</v>
      </c>
      <c r="N14" s="49"/>
      <c r="O14" s="49"/>
      <c r="P14" s="49"/>
      <c r="Q14" s="49"/>
      <c r="R14" s="49"/>
      <c r="S14" s="49"/>
      <c r="T14" s="49"/>
      <c r="U14" s="49"/>
      <c r="V14" s="72" t="str">
        <f aca="false">IFERROR(IF((SUMIFS('10. Activity Data Log'!$U$7:$U$46,'10. Activity Data Log'!$C$7:$C$46,$D14,'10. Activity Data Log'!$AD$7:$AD$46,"Q1")+SUMIFS('11. Distribution Log'!$W$7:$W$46,'11. Distribution Log'!$C$7:$C$46,$D14,'11. Distribution Log'!$AI$7:$AI$46,"Q1"))=0,"",SUMIFS('10. Activity Data Log'!$U$7:$U$46,'10. Activity Data Log'!$C$7:$C$46,$D14,'10. Activity Data Log'!$AD$7:$AD$46,"Q1")+SUMIFS('11. Distribution Log'!$W$7:$W$46,'11. Distribution Log'!$C$7:$C$46,$D14,'11. Distribution Log'!$AI$7:$AI$46,"Q1")),"")</f>
        <v/>
      </c>
      <c r="W14" s="72" t="str">
        <f aca="false">IFERROR(IF((SUMIFS('10. Activity Data Log'!$U$7:$U$46,'10. Activity Data Log'!$C$7:$C$46,$D14,'10. Activity Data Log'!$AD$7:$AD$46,"Q2")+SUMIFS('11. Distribution Log'!$W$7:$W$46,'11. Distribution Log'!$C$7:$C$46,$D14,'11. Distribution Log'!$AI$7:$AI$46,"Q2"))=0,"",SUMIFS('10. Activity Data Log'!$U$7:$U$46,'10. Activity Data Log'!$C$7:$C$46,$D14,'10. Activity Data Log'!$AD$7:$AD$46,"Q2")+SUMIFS('11. Distribution Log'!$W$7:$W$46,'11. Distribution Log'!$C$7:$C$46,$D14,'11. Distribution Log'!$AI$7:$AI$46,"Q2")),"")</f>
        <v/>
      </c>
      <c r="X14" s="72" t="str">
        <f aca="false">IFERROR(IF((SUMIFS('10. Activity Data Log'!$U$7:$U$46,'10. Activity Data Log'!$C$7:$C$46,$D14,'10. Activity Data Log'!$AD$7:$AD$46,"Q3")+SUMIFS('11. Distribution Log'!$W$7:$W$46,'11. Distribution Log'!$C$7:$C$46,$D14,'11. Distribution Log'!$AI$7:$AI$46,"Q3"))=0,"",SUMIFS('10. Activity Data Log'!$U$7:$U$46,'10. Activity Data Log'!$C$7:$C$46,$D14,'10. Activity Data Log'!$AD$7:$AD$46,"Q3")+SUMIFS('11. Distribution Log'!$W$7:$W$46,'11. Distribution Log'!$C$7:$C$46,$D14,'11. Distribution Log'!$AI$7:$AI$46,"Q3")),"")</f>
        <v/>
      </c>
      <c r="Y14" s="72" t="str">
        <f aca="false">IFERROR(IF((SUMIFS('10. Activity Data Log'!$U$7:$U$46,'10. Activity Data Log'!$C$7:$C$46,$D14,'10. Activity Data Log'!$AD$7:$AD$46,"Q4")+SUMIFS('11. Distribution Log'!$W$7:$W$46,'11. Distribution Log'!$C$7:$C$46,$D14,'11. Distribution Log'!$AI$7:$AI$46,"Q4"))=0,"",SUMIFS('10. Activity Data Log'!$U$7:$U$46,'10. Activity Data Log'!$C$7:$C$46,$D14,'10. Activity Data Log'!$AD$7:$AD$46,"Q4")+SUMIFS('11. Distribution Log'!$W$7:$W$46,'11. Distribution Log'!$C$7:$C$46,$D14,'11. Distribution Log'!$AI$7:$AI$46,"Q4")),"")</f>
        <v/>
      </c>
      <c r="Z14" s="72" t="str">
        <f aca="false">IFERROR(IF((SUMIFS('10. Activity Data Log'!$U$7:$U$46,'10. Activity Data Log'!$C$7:$C$46,$D14,'10. Activity Data Log'!$AD$7:$AD$46,"Q5")+SUMIFS('11. Distribution Log'!$W$7:$W$46,'11. Distribution Log'!$C$7:$C$46,$D14,'11. Distribution Log'!$AI$7:$AI$46,"Q5"))=0,"",SUMIFS('10. Activity Data Log'!$U$7:$U$46,'10. Activity Data Log'!$C$7:$C$46,$D14,'10. Activity Data Log'!$AD$7:$AD$46,"Q5")+SUMIFS('11. Distribution Log'!$W$7:$W$46,'11. Distribution Log'!$C$7:$C$46,$D14,'11. Distribution Log'!$AI$7:$AI$46,"Q5")),"")</f>
        <v/>
      </c>
      <c r="AA14" s="72" t="str">
        <f aca="false">IFERROR(IF((SUMIFS('10. Activity Data Log'!$U$7:$U$46,'10. Activity Data Log'!$C$7:$C$46,$D14,'10. Activity Data Log'!$AD$7:$AD$46,"Q6")+SUMIFS('11. Distribution Log'!$W$7:$W$46,'11. Distribution Log'!$C$7:$C$46,$D14,'11. Distribution Log'!$AI$7:$AI$46,"Q6"))=0,"",SUMIFS('10. Activity Data Log'!$U$7:$U$46,'10. Activity Data Log'!$C$7:$C$46,$D14,'10. Activity Data Log'!$AD$7:$AD$46,"Q6")+SUMIFS('11. Distribution Log'!$W$7:$W$46,'11. Distribution Log'!$C$7:$C$46,$D14,'11. Distribution Log'!$AI$7:$AI$46,"Q6")),"")</f>
        <v/>
      </c>
      <c r="AB14" s="72" t="str">
        <f aca="false">IFERROR(IF((SUMIFS('10. Activity Data Log'!$U$7:$U$46,'10. Activity Data Log'!$C$7:$C$46,$D14,'10. Activity Data Log'!$AD$7:$AD$46,"Q7")+SUMIFS('11. Distribution Log'!$W$7:$W$46,'11. Distribution Log'!$C$7:$C$46,$D14,'11. Distribution Log'!$AI$7:$AI$46,"Q7"))=0,"",SUMIFS('10. Activity Data Log'!$U$7:$U$46,'10. Activity Data Log'!$C$7:$C$46,$D14,'10. Activity Data Log'!$AD$7:$AD$46,"Q7")+SUMIFS('11. Distribution Log'!$W$7:$W$46,'11. Distribution Log'!$C$7:$C$46,$D14,'11. Distribution Log'!$AI$7:$AI$46,"Q7")),"")</f>
        <v/>
      </c>
      <c r="AC14" s="72" t="str">
        <f aca="false">IFERROR(IF((SUMIFS('10. Activity Data Log'!$U$7:$U$46,'10. Activity Data Log'!$C$7:$C$46,$D14,'10. Activity Data Log'!$AD$7:$AD$46,"Q8")+SUMIFS('11. Distribution Log'!$W$7:$W$46,'11. Distribution Log'!$C$7:$C$46,$D14,'11. Distribution Log'!$AI$7:$AI$46,"Q8"))=0,"",SUMIFS('10. Activity Data Log'!$U$7:$U$46,'10. Activity Data Log'!$C$7:$C$46,$D14,'10. Activity Data Log'!$AD$7:$AD$46,"Q8")+SUMIFS('11. Distribution Log'!$W$7:$W$46,'11. Distribution Log'!$C$7:$C$46,$D14,'11. Distribution Log'!$AI$7:$AI$46,"Q8")),"")</f>
        <v/>
      </c>
      <c r="AD14" s="68" t="str">
        <f aca="false">IFERROR(IF(SUMPRODUCT((COLUMN(N14:U14)-COLUMN(N14)+1&lt;='7. IPTT'!$C$3)*N(N14:U14))=0,"",SUMPRODUCT((COLUMN(V14:AC14)-COLUMN(V14)+1&lt;='7. IPTT'!$C$3)*N(V14:AC14))/SUMPRODUCT((COLUMN(N14:U14)-COLUMN(N14)+1&lt;='7. IPTT'!$C$3)*N(N14:U14))),"")</f>
        <v/>
      </c>
      <c r="AE14" s="22" t="str">
        <f aca="false">IFERROR(IF(AD14="","No data yet",IF(AD14&gt;=0.9,"On Track",IF(AD14&gt;=0.7,"Slightly Behind","Behind"))),"")</f>
        <v>No data yet</v>
      </c>
      <c r="AF14" s="16" t="s">
        <v>1129</v>
      </c>
      <c r="AG14" s="16" t="s">
        <v>1129</v>
      </c>
      <c r="AH14" s="73" t="n">
        <v>193693.01</v>
      </c>
      <c r="AI14" s="74" t="n">
        <v>27698100.43</v>
      </c>
      <c r="AJ14" s="16" t="str">
        <f aca="false">IFERROR(IF(COUNTIF('10. Activity Data Log'!$C$7:$C$46,$D14)=0,"No Data Log entries yet",COUNTIF('10. Activity Data Log'!$C$7:$C$46,$D14)&amp;" entries logged, avg "&amp;TEXT(AVERAGEIF('10. Activity Data Log'!$C$7:$C$46,$D14,'10. Activity Data Log'!$AB$7:$AB$46),"0%")&amp;" of target"),"")</f>
        <v>No Data Log entries yet</v>
      </c>
      <c r="AK14" s="16" t="str">
        <f aca="false">IFERROR(IF(OR(J14="",J14="-"),"During [reporting period], FIVDB delivered: "&amp;E14&amp;" (target: "&amp;I14&amp;"). Source: "&amp;AM14&amp;".","During [reporting period], FIVDB delivered: "&amp;E14&amp;" (target: "&amp;I14&amp;"), contributing to indicator '"&amp;IFERROR(INDEX('7. IPTT'!$F$15:$F$37,MATCH(IF(ISNUMBER(FIND(",",J14)),TRIM(LEFT(J14,FIND(",",J14)-1)),TRIM(J14)),'7. IPTT'!$C$15:$C$37,0)),"")&amp;"' ("&amp;J14&amp;"). Source: "&amp;AM14&amp;"."),"During [reporting period], FIVDB delivered: "&amp;E14&amp;".")</f>
        <v>During [reporting period], FIVDB delivered: Distribute scholastic material kits (exercise books, ALP books, drawing books, pens, pencils, water bottle, erasers, sharpeners) to enrolled children, 2 shifts per CBLF. (target: 1,224 children, 2-year supply), contributing to indicator 'Number of girls and boys provided with learning materials' (R1-I4). Source: FIVDB Detailed Budget, row 54 (Kits scholastic materials, 24 per CBLF).</v>
      </c>
      <c r="AL14" s="16" t="s">
        <v>1140</v>
      </c>
      <c r="AM14" s="16" t="s">
        <v>1141</v>
      </c>
      <c r="AN14" s="22" t="s">
        <v>197</v>
      </c>
      <c r="AO14" s="16" t="s">
        <v>1142</v>
      </c>
    </row>
    <row r="15" customFormat="false" ht="99" hidden="false" customHeight="true" outlineLevel="0" collapsed="false">
      <c r="B15" s="22" t="s">
        <v>825</v>
      </c>
      <c r="C15" s="22" t="s">
        <v>1125</v>
      </c>
      <c r="D15" s="22" t="s">
        <v>610</v>
      </c>
      <c r="E15" s="16" t="s">
        <v>611</v>
      </c>
      <c r="F15" s="16" t="s">
        <v>1143</v>
      </c>
      <c r="G15" s="16" t="s">
        <v>1137</v>
      </c>
      <c r="H15" s="16" t="s">
        <v>1103</v>
      </c>
      <c r="I15" s="16" t="s">
        <v>1144</v>
      </c>
      <c r="J15" s="22" t="s">
        <v>864</v>
      </c>
      <c r="K15" s="16" t="s">
        <v>1139</v>
      </c>
      <c r="L15" s="22" t="n">
        <v>1224</v>
      </c>
      <c r="M15" s="22" t="s">
        <v>1114</v>
      </c>
      <c r="N15" s="49"/>
      <c r="O15" s="49"/>
      <c r="P15" s="49"/>
      <c r="Q15" s="49"/>
      <c r="R15" s="49"/>
      <c r="S15" s="49"/>
      <c r="T15" s="49"/>
      <c r="U15" s="49"/>
      <c r="V15" s="72" t="str">
        <f aca="false">IFERROR(IF((SUMIFS('10. Activity Data Log'!$U$7:$U$46,'10. Activity Data Log'!$C$7:$C$46,$D15,'10. Activity Data Log'!$AD$7:$AD$46,"Q1")+SUMIFS('11. Distribution Log'!$W$7:$W$46,'11. Distribution Log'!$C$7:$C$46,$D15,'11. Distribution Log'!$AI$7:$AI$46,"Q1"))=0,"",SUMIFS('10. Activity Data Log'!$U$7:$U$46,'10. Activity Data Log'!$C$7:$C$46,$D15,'10. Activity Data Log'!$AD$7:$AD$46,"Q1")+SUMIFS('11. Distribution Log'!$W$7:$W$46,'11. Distribution Log'!$C$7:$C$46,$D15,'11. Distribution Log'!$AI$7:$AI$46,"Q1")),"")</f>
        <v/>
      </c>
      <c r="W15" s="72" t="str">
        <f aca="false">IFERROR(IF((SUMIFS('10. Activity Data Log'!$U$7:$U$46,'10. Activity Data Log'!$C$7:$C$46,$D15,'10. Activity Data Log'!$AD$7:$AD$46,"Q2")+SUMIFS('11. Distribution Log'!$W$7:$W$46,'11. Distribution Log'!$C$7:$C$46,$D15,'11. Distribution Log'!$AI$7:$AI$46,"Q2"))=0,"",SUMIFS('10. Activity Data Log'!$U$7:$U$46,'10. Activity Data Log'!$C$7:$C$46,$D15,'10. Activity Data Log'!$AD$7:$AD$46,"Q2")+SUMIFS('11. Distribution Log'!$W$7:$W$46,'11. Distribution Log'!$C$7:$C$46,$D15,'11. Distribution Log'!$AI$7:$AI$46,"Q2")),"")</f>
        <v/>
      </c>
      <c r="X15" s="72" t="str">
        <f aca="false">IFERROR(IF((SUMIFS('10. Activity Data Log'!$U$7:$U$46,'10. Activity Data Log'!$C$7:$C$46,$D15,'10. Activity Data Log'!$AD$7:$AD$46,"Q3")+SUMIFS('11. Distribution Log'!$W$7:$W$46,'11. Distribution Log'!$C$7:$C$46,$D15,'11. Distribution Log'!$AI$7:$AI$46,"Q3"))=0,"",SUMIFS('10. Activity Data Log'!$U$7:$U$46,'10. Activity Data Log'!$C$7:$C$46,$D15,'10. Activity Data Log'!$AD$7:$AD$46,"Q3")+SUMIFS('11. Distribution Log'!$W$7:$W$46,'11. Distribution Log'!$C$7:$C$46,$D15,'11. Distribution Log'!$AI$7:$AI$46,"Q3")),"")</f>
        <v/>
      </c>
      <c r="Y15" s="72" t="str">
        <f aca="false">IFERROR(IF((SUMIFS('10. Activity Data Log'!$U$7:$U$46,'10. Activity Data Log'!$C$7:$C$46,$D15,'10. Activity Data Log'!$AD$7:$AD$46,"Q4")+SUMIFS('11. Distribution Log'!$W$7:$W$46,'11. Distribution Log'!$C$7:$C$46,$D15,'11. Distribution Log'!$AI$7:$AI$46,"Q4"))=0,"",SUMIFS('10. Activity Data Log'!$U$7:$U$46,'10. Activity Data Log'!$C$7:$C$46,$D15,'10. Activity Data Log'!$AD$7:$AD$46,"Q4")+SUMIFS('11. Distribution Log'!$W$7:$W$46,'11. Distribution Log'!$C$7:$C$46,$D15,'11. Distribution Log'!$AI$7:$AI$46,"Q4")),"")</f>
        <v/>
      </c>
      <c r="Z15" s="72" t="str">
        <f aca="false">IFERROR(IF((SUMIFS('10. Activity Data Log'!$U$7:$U$46,'10. Activity Data Log'!$C$7:$C$46,$D15,'10. Activity Data Log'!$AD$7:$AD$46,"Q5")+SUMIFS('11. Distribution Log'!$W$7:$W$46,'11. Distribution Log'!$C$7:$C$46,$D15,'11. Distribution Log'!$AI$7:$AI$46,"Q5"))=0,"",SUMIFS('10. Activity Data Log'!$U$7:$U$46,'10. Activity Data Log'!$C$7:$C$46,$D15,'10. Activity Data Log'!$AD$7:$AD$46,"Q5")+SUMIFS('11. Distribution Log'!$W$7:$W$46,'11. Distribution Log'!$C$7:$C$46,$D15,'11. Distribution Log'!$AI$7:$AI$46,"Q5")),"")</f>
        <v/>
      </c>
      <c r="AA15" s="72" t="str">
        <f aca="false">IFERROR(IF((SUMIFS('10. Activity Data Log'!$U$7:$U$46,'10. Activity Data Log'!$C$7:$C$46,$D15,'10. Activity Data Log'!$AD$7:$AD$46,"Q6")+SUMIFS('11. Distribution Log'!$W$7:$W$46,'11. Distribution Log'!$C$7:$C$46,$D15,'11. Distribution Log'!$AI$7:$AI$46,"Q6"))=0,"",SUMIFS('10. Activity Data Log'!$U$7:$U$46,'10. Activity Data Log'!$C$7:$C$46,$D15,'10. Activity Data Log'!$AD$7:$AD$46,"Q6")+SUMIFS('11. Distribution Log'!$W$7:$W$46,'11. Distribution Log'!$C$7:$C$46,$D15,'11. Distribution Log'!$AI$7:$AI$46,"Q6")),"")</f>
        <v/>
      </c>
      <c r="AB15" s="72" t="str">
        <f aca="false">IFERROR(IF((SUMIFS('10. Activity Data Log'!$U$7:$U$46,'10. Activity Data Log'!$C$7:$C$46,$D15,'10. Activity Data Log'!$AD$7:$AD$46,"Q7")+SUMIFS('11. Distribution Log'!$W$7:$W$46,'11. Distribution Log'!$C$7:$C$46,$D15,'11. Distribution Log'!$AI$7:$AI$46,"Q7"))=0,"",SUMIFS('10. Activity Data Log'!$U$7:$U$46,'10. Activity Data Log'!$C$7:$C$46,$D15,'10. Activity Data Log'!$AD$7:$AD$46,"Q7")+SUMIFS('11. Distribution Log'!$W$7:$W$46,'11. Distribution Log'!$C$7:$C$46,$D15,'11. Distribution Log'!$AI$7:$AI$46,"Q7")),"")</f>
        <v/>
      </c>
      <c r="AC15" s="72" t="str">
        <f aca="false">IFERROR(IF((SUMIFS('10. Activity Data Log'!$U$7:$U$46,'10. Activity Data Log'!$C$7:$C$46,$D15,'10. Activity Data Log'!$AD$7:$AD$46,"Q8")+SUMIFS('11. Distribution Log'!$W$7:$W$46,'11. Distribution Log'!$C$7:$C$46,$D15,'11. Distribution Log'!$AI$7:$AI$46,"Q8"))=0,"",SUMIFS('10. Activity Data Log'!$U$7:$U$46,'10. Activity Data Log'!$C$7:$C$46,$D15,'10. Activity Data Log'!$AD$7:$AD$46,"Q8")+SUMIFS('11. Distribution Log'!$W$7:$W$46,'11. Distribution Log'!$C$7:$C$46,$D15,'11. Distribution Log'!$AI$7:$AI$46,"Q8")),"")</f>
        <v/>
      </c>
      <c r="AD15" s="68" t="str">
        <f aca="false">IFERROR(IF(SUMPRODUCT((COLUMN(N15:U15)-COLUMN(N15)+1&lt;='7. IPTT'!$C$3)*N(N15:U15))=0,"",SUMPRODUCT((COLUMN(V15:AC15)-COLUMN(V15)+1&lt;='7. IPTT'!$C$3)*N(V15:AC15))/SUMPRODUCT((COLUMN(N15:U15)-COLUMN(N15)+1&lt;='7. IPTT'!$C$3)*N(N15:U15))),"")</f>
        <v/>
      </c>
      <c r="AE15" s="22" t="str">
        <f aca="false">IFERROR(IF(AD15="","No data yet",IF(AD15&gt;=0.9,"On Track",IF(AD15&gt;=0.7,"Slightly Behind","Behind"))),"")</f>
        <v>No data yet</v>
      </c>
      <c r="AF15" s="16" t="s">
        <v>1129</v>
      </c>
      <c r="AG15" s="16" t="s">
        <v>1129</v>
      </c>
      <c r="AH15" s="73" t="n">
        <v>193693.01</v>
      </c>
      <c r="AI15" s="74" t="n">
        <v>27698100.43</v>
      </c>
      <c r="AJ15" s="16" t="str">
        <f aca="false">IFERROR(IF(COUNTIF('10. Activity Data Log'!$C$7:$C$46,$D15)=0,"No Data Log entries yet",COUNTIF('10. Activity Data Log'!$C$7:$C$46,$D15)&amp;" entries logged, avg "&amp;TEXT(AVERAGEIF('10. Activity Data Log'!$C$7:$C$46,$D15,'10. Activity Data Log'!$AB$7:$AB$46),"0%")&amp;" of target"),"")</f>
        <v>No Data Log entries yet</v>
      </c>
      <c r="AK15" s="16" t="str">
        <f aca="false">IFERROR(IF(OR(J15="",J15="-"),"During [reporting period], FIVDB delivered: "&amp;E15&amp;" (target: "&amp;I15&amp;"). Source: "&amp;AM15&amp;".","During [reporting period], FIVDB delivered: "&amp;E15&amp;" (target: "&amp;I15&amp;"), contributing to indicator '"&amp;IFERROR(INDEX('7. IPTT'!$F$15:$F$37,MATCH(IF(ISNUMBER(FIND(",",J15)),TRIM(LEFT(J15,FIND(",",J15)-1)),TRIM(J15)),'7. IPTT'!$C$15:$C$37,0)),"")&amp;"' ("&amp;J15&amp;"). Source: "&amp;AM15&amp;"."),"During [reporting period], FIVDB delivered: "&amp;E15&amp;".")</f>
        <v>During [reporting period], FIVDB delivered: Distribute one school bag per enrolled child (one-time distribution). (target: 1,224 children, one-time), contributing to indicator 'Number of girls and boys provided with learning materials' (R1-I4). Source: FIVDB Detailed Budget, row 55 (Bag, provided only once).</v>
      </c>
      <c r="AL15" s="16" t="s">
        <v>1140</v>
      </c>
      <c r="AM15" s="16" t="s">
        <v>1145</v>
      </c>
      <c r="AN15" s="22" t="s">
        <v>197</v>
      </c>
      <c r="AO15" s="16" t="s">
        <v>1146</v>
      </c>
    </row>
    <row r="16" customFormat="false" ht="111.75" hidden="false" customHeight="true" outlineLevel="0" collapsed="false">
      <c r="B16" s="22" t="s">
        <v>825</v>
      </c>
      <c r="C16" s="22" t="s">
        <v>1125</v>
      </c>
      <c r="D16" s="22" t="s">
        <v>613</v>
      </c>
      <c r="E16" s="16" t="s">
        <v>614</v>
      </c>
      <c r="F16" s="16" t="s">
        <v>1147</v>
      </c>
      <c r="G16" s="16" t="s">
        <v>1102</v>
      </c>
      <c r="H16" s="16" t="s">
        <v>1103</v>
      </c>
      <c r="I16" s="16" t="s">
        <v>1148</v>
      </c>
      <c r="J16" s="22" t="s">
        <v>864</v>
      </c>
      <c r="K16" s="16" t="s">
        <v>1139</v>
      </c>
      <c r="L16" s="22" t="n">
        <v>37</v>
      </c>
      <c r="M16" s="22" t="s">
        <v>1114</v>
      </c>
      <c r="N16" s="49"/>
      <c r="O16" s="49"/>
      <c r="P16" s="49"/>
      <c r="Q16" s="49"/>
      <c r="R16" s="49"/>
      <c r="S16" s="49"/>
      <c r="T16" s="49"/>
      <c r="U16" s="49"/>
      <c r="V16" s="72" t="str">
        <f aca="false">IFERROR(IF((SUMIFS('10. Activity Data Log'!$U$7:$U$46,'10. Activity Data Log'!$C$7:$C$46,$D16,'10. Activity Data Log'!$AD$7:$AD$46,"Q1")+SUMIFS('11. Distribution Log'!$W$7:$W$46,'11. Distribution Log'!$C$7:$C$46,$D16,'11. Distribution Log'!$AI$7:$AI$46,"Q1"))=0,"",SUMIFS('10. Activity Data Log'!$U$7:$U$46,'10. Activity Data Log'!$C$7:$C$46,$D16,'10. Activity Data Log'!$AD$7:$AD$46,"Q1")+SUMIFS('11. Distribution Log'!$W$7:$W$46,'11. Distribution Log'!$C$7:$C$46,$D16,'11. Distribution Log'!$AI$7:$AI$46,"Q1")),"")</f>
        <v/>
      </c>
      <c r="W16" s="72" t="str">
        <f aca="false">IFERROR(IF((SUMIFS('10. Activity Data Log'!$U$7:$U$46,'10. Activity Data Log'!$C$7:$C$46,$D16,'10. Activity Data Log'!$AD$7:$AD$46,"Q2")+SUMIFS('11. Distribution Log'!$W$7:$W$46,'11. Distribution Log'!$C$7:$C$46,$D16,'11. Distribution Log'!$AI$7:$AI$46,"Q2"))=0,"",SUMIFS('10. Activity Data Log'!$U$7:$U$46,'10. Activity Data Log'!$C$7:$C$46,$D16,'10. Activity Data Log'!$AD$7:$AD$46,"Q2")+SUMIFS('11. Distribution Log'!$W$7:$W$46,'11. Distribution Log'!$C$7:$C$46,$D16,'11. Distribution Log'!$AI$7:$AI$46,"Q2")),"")</f>
        <v/>
      </c>
      <c r="X16" s="72" t="str">
        <f aca="false">IFERROR(IF((SUMIFS('10. Activity Data Log'!$U$7:$U$46,'10. Activity Data Log'!$C$7:$C$46,$D16,'10. Activity Data Log'!$AD$7:$AD$46,"Q3")+SUMIFS('11. Distribution Log'!$W$7:$W$46,'11. Distribution Log'!$C$7:$C$46,$D16,'11. Distribution Log'!$AI$7:$AI$46,"Q3"))=0,"",SUMIFS('10. Activity Data Log'!$U$7:$U$46,'10. Activity Data Log'!$C$7:$C$46,$D16,'10. Activity Data Log'!$AD$7:$AD$46,"Q3")+SUMIFS('11. Distribution Log'!$W$7:$W$46,'11. Distribution Log'!$C$7:$C$46,$D16,'11. Distribution Log'!$AI$7:$AI$46,"Q3")),"")</f>
        <v/>
      </c>
      <c r="Y16" s="72" t="str">
        <f aca="false">IFERROR(IF((SUMIFS('10. Activity Data Log'!$U$7:$U$46,'10. Activity Data Log'!$C$7:$C$46,$D16,'10. Activity Data Log'!$AD$7:$AD$46,"Q4")+SUMIFS('11. Distribution Log'!$W$7:$W$46,'11. Distribution Log'!$C$7:$C$46,$D16,'11. Distribution Log'!$AI$7:$AI$46,"Q4"))=0,"",SUMIFS('10. Activity Data Log'!$U$7:$U$46,'10. Activity Data Log'!$C$7:$C$46,$D16,'10. Activity Data Log'!$AD$7:$AD$46,"Q4")+SUMIFS('11. Distribution Log'!$W$7:$W$46,'11. Distribution Log'!$C$7:$C$46,$D16,'11. Distribution Log'!$AI$7:$AI$46,"Q4")),"")</f>
        <v/>
      </c>
      <c r="Z16" s="72" t="str">
        <f aca="false">IFERROR(IF((SUMIFS('10. Activity Data Log'!$U$7:$U$46,'10. Activity Data Log'!$C$7:$C$46,$D16,'10. Activity Data Log'!$AD$7:$AD$46,"Q5")+SUMIFS('11. Distribution Log'!$W$7:$W$46,'11. Distribution Log'!$C$7:$C$46,$D16,'11. Distribution Log'!$AI$7:$AI$46,"Q5"))=0,"",SUMIFS('10. Activity Data Log'!$U$7:$U$46,'10. Activity Data Log'!$C$7:$C$46,$D16,'10. Activity Data Log'!$AD$7:$AD$46,"Q5")+SUMIFS('11. Distribution Log'!$W$7:$W$46,'11. Distribution Log'!$C$7:$C$46,$D16,'11. Distribution Log'!$AI$7:$AI$46,"Q5")),"")</f>
        <v/>
      </c>
      <c r="AA16" s="72" t="str">
        <f aca="false">IFERROR(IF((SUMIFS('10. Activity Data Log'!$U$7:$U$46,'10. Activity Data Log'!$C$7:$C$46,$D16,'10. Activity Data Log'!$AD$7:$AD$46,"Q6")+SUMIFS('11. Distribution Log'!$W$7:$W$46,'11. Distribution Log'!$C$7:$C$46,$D16,'11. Distribution Log'!$AI$7:$AI$46,"Q6"))=0,"",SUMIFS('10. Activity Data Log'!$U$7:$U$46,'10. Activity Data Log'!$C$7:$C$46,$D16,'10. Activity Data Log'!$AD$7:$AD$46,"Q6")+SUMIFS('11. Distribution Log'!$W$7:$W$46,'11. Distribution Log'!$C$7:$C$46,$D16,'11. Distribution Log'!$AI$7:$AI$46,"Q6")),"")</f>
        <v/>
      </c>
      <c r="AB16" s="72" t="str">
        <f aca="false">IFERROR(IF((SUMIFS('10. Activity Data Log'!$U$7:$U$46,'10. Activity Data Log'!$C$7:$C$46,$D16,'10. Activity Data Log'!$AD$7:$AD$46,"Q7")+SUMIFS('11. Distribution Log'!$W$7:$W$46,'11. Distribution Log'!$C$7:$C$46,$D16,'11. Distribution Log'!$AI$7:$AI$46,"Q7"))=0,"",SUMIFS('10. Activity Data Log'!$U$7:$U$46,'10. Activity Data Log'!$C$7:$C$46,$D16,'10. Activity Data Log'!$AD$7:$AD$46,"Q7")+SUMIFS('11. Distribution Log'!$W$7:$W$46,'11. Distribution Log'!$C$7:$C$46,$D16,'11. Distribution Log'!$AI$7:$AI$46,"Q7")),"")</f>
        <v/>
      </c>
      <c r="AC16" s="72" t="str">
        <f aca="false">IFERROR(IF((SUMIFS('10. Activity Data Log'!$U$7:$U$46,'10. Activity Data Log'!$C$7:$C$46,$D16,'10. Activity Data Log'!$AD$7:$AD$46,"Q8")+SUMIFS('11. Distribution Log'!$W$7:$W$46,'11. Distribution Log'!$C$7:$C$46,$D16,'11. Distribution Log'!$AI$7:$AI$46,"Q8"))=0,"",SUMIFS('10. Activity Data Log'!$U$7:$U$46,'10. Activity Data Log'!$C$7:$C$46,$D16,'10. Activity Data Log'!$AD$7:$AD$46,"Q8")+SUMIFS('11. Distribution Log'!$W$7:$W$46,'11. Distribution Log'!$C$7:$C$46,$D16,'11. Distribution Log'!$AI$7:$AI$46,"Q8")),"")</f>
        <v/>
      </c>
      <c r="AD16" s="68" t="str">
        <f aca="false">IFERROR(IF(SUMPRODUCT((COLUMN(N16:U16)-COLUMN(N16)+1&lt;='7. IPTT'!$C$3)*N(N16:U16))=0,"",SUMPRODUCT((COLUMN(V16:AC16)-COLUMN(V16)+1&lt;='7. IPTT'!$C$3)*N(V16:AC16))/SUMPRODUCT((COLUMN(N16:U16)-COLUMN(N16)+1&lt;='7. IPTT'!$C$3)*N(N16:U16))),"")</f>
        <v/>
      </c>
      <c r="AE16" s="22" t="str">
        <f aca="false">IFERROR(IF(AD16="","No data yet",IF(AD16&gt;=0.9,"On Track",IF(AD16&gt;=0.7,"Slightly Behind","Behind"))),"")</f>
        <v>No data yet</v>
      </c>
      <c r="AF16" s="16" t="s">
        <v>1129</v>
      </c>
      <c r="AG16" s="16" t="s">
        <v>1129</v>
      </c>
      <c r="AH16" s="73" t="n">
        <v>193693.01</v>
      </c>
      <c r="AI16" s="74" t="n">
        <v>27698100.43</v>
      </c>
      <c r="AJ16" s="16" t="str">
        <f aca="false">IFERROR(IF(COUNTIF('10. Activity Data Log'!$C$7:$C$46,$D16)=0,"No Data Log entries yet",COUNTIF('10. Activity Data Log'!$C$7:$C$46,$D16)&amp;" entries logged, avg "&amp;TEXT(AVERAGEIF('10. Activity Data Log'!$C$7:$C$46,$D16,'10. Activity Data Log'!$AB$7:$AB$46),"0%")&amp;" of target"),"")</f>
        <v>No Data Log entries yet</v>
      </c>
      <c r="AK16" s="16" t="str">
        <f aca="false">IFERROR(IF(OR(J16="",J16="-"),"During [reporting period], FIVDB delivered: "&amp;E16&amp;" (target: "&amp;I16&amp;"). Source: "&amp;AM16&amp;".","During [reporting period], FIVDB delivered: "&amp;E16&amp;" (target: "&amp;I16&amp;"), contributing to indicator '"&amp;IFERROR(INDEX('7. IPTT'!$F$15:$F$37,MATCH(IF(ISNUMBER(FIND(",",J16)),TRIM(LEFT(J16,FIND(",",J16)-1)),TRIM(J16)),'7. IPTT'!$C$15:$C$37,0)),"")&amp;"' ("&amp;J16&amp;"). Source: "&amp;AM16&amp;"."),"During [reporting period], FIVDB delivered: "&amp;E16&amp;".")</f>
        <v>During [reporting period], FIVDB delivered: Provide assistive devices and reasonable accommodation for children with disabilities (device cost only; assessment carried out by HI). (target: ~37 children (3% of 1,224)), contributing to indicator 'Number of girls and boys provided with learning materials' (R1-I4). Source: FIVDB Detailed Budget, row 56 (Assistive devices and reasonable accommodation).</v>
      </c>
      <c r="AL16" s="16" t="s">
        <v>1149</v>
      </c>
      <c r="AM16" s="16" t="s">
        <v>1150</v>
      </c>
      <c r="AN16" s="22" t="s">
        <v>197</v>
      </c>
      <c r="AO16" s="16" t="s">
        <v>1151</v>
      </c>
    </row>
    <row r="17" customFormat="false" ht="111.75" hidden="false" customHeight="true" outlineLevel="0" collapsed="false">
      <c r="B17" s="22" t="s">
        <v>825</v>
      </c>
      <c r="C17" s="22" t="s">
        <v>1125</v>
      </c>
      <c r="D17" s="22" t="s">
        <v>615</v>
      </c>
      <c r="E17" s="16" t="s">
        <v>616</v>
      </c>
      <c r="F17" s="16" t="s">
        <v>1152</v>
      </c>
      <c r="G17" s="16" t="s">
        <v>1102</v>
      </c>
      <c r="H17" s="16" t="s">
        <v>1103</v>
      </c>
      <c r="I17" s="16" t="s">
        <v>1153</v>
      </c>
      <c r="J17" s="22" t="s">
        <v>840</v>
      </c>
      <c r="K17" s="16" t="s">
        <v>1154</v>
      </c>
      <c r="L17" s="22" t="n">
        <v>51</v>
      </c>
      <c r="M17" s="22" t="s">
        <v>1155</v>
      </c>
      <c r="N17" s="49"/>
      <c r="O17" s="49"/>
      <c r="P17" s="49"/>
      <c r="Q17" s="49"/>
      <c r="R17" s="49"/>
      <c r="S17" s="49"/>
      <c r="T17" s="49"/>
      <c r="U17" s="49"/>
      <c r="V17" s="72" t="str">
        <f aca="false">IFERROR(IF((SUMIFS('10. Activity Data Log'!$U$7:$U$46,'10. Activity Data Log'!$C$7:$C$46,$D17,'10. Activity Data Log'!$AD$7:$AD$46,"Q1")+SUMIFS('11. Distribution Log'!$W$7:$W$46,'11. Distribution Log'!$C$7:$C$46,$D17,'11. Distribution Log'!$AI$7:$AI$46,"Q1"))=0,"",SUMIFS('10. Activity Data Log'!$U$7:$U$46,'10. Activity Data Log'!$C$7:$C$46,$D17,'10. Activity Data Log'!$AD$7:$AD$46,"Q1")+SUMIFS('11. Distribution Log'!$W$7:$W$46,'11. Distribution Log'!$C$7:$C$46,$D17,'11. Distribution Log'!$AI$7:$AI$46,"Q1")),"")</f>
        <v/>
      </c>
      <c r="W17" s="72" t="str">
        <f aca="false">IFERROR(IF((SUMIFS('10. Activity Data Log'!$U$7:$U$46,'10. Activity Data Log'!$C$7:$C$46,$D17,'10. Activity Data Log'!$AD$7:$AD$46,"Q2")+SUMIFS('11. Distribution Log'!$W$7:$W$46,'11. Distribution Log'!$C$7:$C$46,$D17,'11. Distribution Log'!$AI$7:$AI$46,"Q2"))=0,"",SUMIFS('10. Activity Data Log'!$U$7:$U$46,'10. Activity Data Log'!$C$7:$C$46,$D17,'10. Activity Data Log'!$AD$7:$AD$46,"Q2")+SUMIFS('11. Distribution Log'!$W$7:$W$46,'11. Distribution Log'!$C$7:$C$46,$D17,'11. Distribution Log'!$AI$7:$AI$46,"Q2")),"")</f>
        <v/>
      </c>
      <c r="X17" s="72" t="str">
        <f aca="false">IFERROR(IF((SUMIFS('10. Activity Data Log'!$U$7:$U$46,'10. Activity Data Log'!$C$7:$C$46,$D17,'10. Activity Data Log'!$AD$7:$AD$46,"Q3")+SUMIFS('11. Distribution Log'!$W$7:$W$46,'11. Distribution Log'!$C$7:$C$46,$D17,'11. Distribution Log'!$AI$7:$AI$46,"Q3"))=0,"",SUMIFS('10. Activity Data Log'!$U$7:$U$46,'10. Activity Data Log'!$C$7:$C$46,$D17,'10. Activity Data Log'!$AD$7:$AD$46,"Q3")+SUMIFS('11. Distribution Log'!$W$7:$W$46,'11. Distribution Log'!$C$7:$C$46,$D17,'11. Distribution Log'!$AI$7:$AI$46,"Q3")),"")</f>
        <v/>
      </c>
      <c r="Y17" s="72" t="str">
        <f aca="false">IFERROR(IF((SUMIFS('10. Activity Data Log'!$U$7:$U$46,'10. Activity Data Log'!$C$7:$C$46,$D17,'10. Activity Data Log'!$AD$7:$AD$46,"Q4")+SUMIFS('11. Distribution Log'!$W$7:$W$46,'11. Distribution Log'!$C$7:$C$46,$D17,'11. Distribution Log'!$AI$7:$AI$46,"Q4"))=0,"",SUMIFS('10. Activity Data Log'!$U$7:$U$46,'10. Activity Data Log'!$C$7:$C$46,$D17,'10. Activity Data Log'!$AD$7:$AD$46,"Q4")+SUMIFS('11. Distribution Log'!$W$7:$W$46,'11. Distribution Log'!$C$7:$C$46,$D17,'11. Distribution Log'!$AI$7:$AI$46,"Q4")),"")</f>
        <v/>
      </c>
      <c r="Z17" s="72" t="str">
        <f aca="false">IFERROR(IF((SUMIFS('10. Activity Data Log'!$U$7:$U$46,'10. Activity Data Log'!$C$7:$C$46,$D17,'10. Activity Data Log'!$AD$7:$AD$46,"Q5")+SUMIFS('11. Distribution Log'!$W$7:$W$46,'11. Distribution Log'!$C$7:$C$46,$D17,'11. Distribution Log'!$AI$7:$AI$46,"Q5"))=0,"",SUMIFS('10. Activity Data Log'!$U$7:$U$46,'10. Activity Data Log'!$C$7:$C$46,$D17,'10. Activity Data Log'!$AD$7:$AD$46,"Q5")+SUMIFS('11. Distribution Log'!$W$7:$W$46,'11. Distribution Log'!$C$7:$C$46,$D17,'11. Distribution Log'!$AI$7:$AI$46,"Q5")),"")</f>
        <v/>
      </c>
      <c r="AA17" s="72" t="str">
        <f aca="false">IFERROR(IF((SUMIFS('10. Activity Data Log'!$U$7:$U$46,'10. Activity Data Log'!$C$7:$C$46,$D17,'10. Activity Data Log'!$AD$7:$AD$46,"Q6")+SUMIFS('11. Distribution Log'!$W$7:$W$46,'11. Distribution Log'!$C$7:$C$46,$D17,'11. Distribution Log'!$AI$7:$AI$46,"Q6"))=0,"",SUMIFS('10. Activity Data Log'!$U$7:$U$46,'10. Activity Data Log'!$C$7:$C$46,$D17,'10. Activity Data Log'!$AD$7:$AD$46,"Q6")+SUMIFS('11. Distribution Log'!$W$7:$W$46,'11. Distribution Log'!$C$7:$C$46,$D17,'11. Distribution Log'!$AI$7:$AI$46,"Q6")),"")</f>
        <v/>
      </c>
      <c r="AB17" s="72" t="str">
        <f aca="false">IFERROR(IF((SUMIFS('10. Activity Data Log'!$U$7:$U$46,'10. Activity Data Log'!$C$7:$C$46,$D17,'10. Activity Data Log'!$AD$7:$AD$46,"Q7")+SUMIFS('11. Distribution Log'!$W$7:$W$46,'11. Distribution Log'!$C$7:$C$46,$D17,'11. Distribution Log'!$AI$7:$AI$46,"Q7"))=0,"",SUMIFS('10. Activity Data Log'!$U$7:$U$46,'10. Activity Data Log'!$C$7:$C$46,$D17,'10. Activity Data Log'!$AD$7:$AD$46,"Q7")+SUMIFS('11. Distribution Log'!$W$7:$W$46,'11. Distribution Log'!$C$7:$C$46,$D17,'11. Distribution Log'!$AI$7:$AI$46,"Q7")),"")</f>
        <v/>
      </c>
      <c r="AC17" s="72" t="str">
        <f aca="false">IFERROR(IF((SUMIFS('10. Activity Data Log'!$U$7:$U$46,'10. Activity Data Log'!$C$7:$C$46,$D17,'10. Activity Data Log'!$AD$7:$AD$46,"Q8")+SUMIFS('11. Distribution Log'!$W$7:$W$46,'11. Distribution Log'!$C$7:$C$46,$D17,'11. Distribution Log'!$AI$7:$AI$46,"Q8"))=0,"",SUMIFS('10. Activity Data Log'!$U$7:$U$46,'10. Activity Data Log'!$C$7:$C$46,$D17,'10. Activity Data Log'!$AD$7:$AD$46,"Q8")+SUMIFS('11. Distribution Log'!$W$7:$W$46,'11. Distribution Log'!$C$7:$C$46,$D17,'11. Distribution Log'!$AI$7:$AI$46,"Q8")),"")</f>
        <v/>
      </c>
      <c r="AD17" s="68" t="str">
        <f aca="false">IFERROR(IF(SUMPRODUCT((COLUMN(N17:U17)-COLUMN(N17)+1&lt;='7. IPTT'!$C$3)*N(N17:U17))=0,"",SUMPRODUCT((COLUMN(V17:AC17)-COLUMN(V17)+1&lt;='7. IPTT'!$C$3)*N(V17:AC17))/SUMPRODUCT((COLUMN(N17:U17)-COLUMN(N17)+1&lt;='7. IPTT'!$C$3)*N(N17:U17))),"")</f>
        <v/>
      </c>
      <c r="AE17" s="22" t="str">
        <f aca="false">IFERROR(IF(AD17="","No data yet",IF(AD17&gt;=0.9,"On Track",IF(AD17&gt;=0.7,"Slightly Behind","Behind"))),"")</f>
        <v>No data yet</v>
      </c>
      <c r="AF17" s="16" t="s">
        <v>1129</v>
      </c>
      <c r="AG17" s="16" t="s">
        <v>1129</v>
      </c>
      <c r="AH17" s="73" t="n">
        <v>193693.01</v>
      </c>
      <c r="AI17" s="74" t="n">
        <v>27698100.43</v>
      </c>
      <c r="AJ17" s="16" t="str">
        <f aca="false">IFERROR(IF(COUNTIF('10. Activity Data Log'!$C$7:$C$46,$D17)=0,"No Data Log entries yet",COUNTIF('10. Activity Data Log'!$C$7:$C$46,$D17)&amp;" entries logged, avg "&amp;TEXT(AVERAGEIF('10. Activity Data Log'!$C$7:$C$46,$D17,'10. Activity Data Log'!$AB$7:$AB$46),"0%")&amp;" of target"),"")</f>
        <v>No Data Log entries yet</v>
      </c>
      <c r="AK17" s="16" t="str">
        <f aca="false">IFERROR(IF(OR(J17="",J17="-"),"During [reporting period], FIVDB delivered: "&amp;E17&amp;" (target: "&amp;I17&amp;"). Source: "&amp;AM17&amp;".","During [reporting period], FIVDB delivered: "&amp;E17&amp;" (target: "&amp;I17&amp;"), contributing to indicator '"&amp;IFERROR(INDEX('7. IPTT'!$F$15:$F$37,MATCH(IF(ISNUMBER(FIND(",",J17)),TRIM(LEFT(J17,FIND(",",J17)-1)),TRIM(J17)),'7. IPTT'!$C$15:$C$37,0)),"")&amp;"' ("&amp;J17&amp;"). Source: "&amp;AM17&amp;"."),"During [reporting period], FIVDB delivered: "&amp;E17&amp;".")</f>
        <v>During [reporting period], FIVDB delivered: Provide the CBLF minimum package (floor mats, whiteboards, boxes, stationery, cleaning materials). (target: 51 CBLFs, 2-year supply), contributing to indicator 'Number of learning spaces established or restored to minimum standards for safe learning' (R1-I2). Source: FIVDB Detailed Budget, row 57 (Minimum package).</v>
      </c>
      <c r="AL17" s="16" t="s">
        <v>1156</v>
      </c>
      <c r="AM17" s="16" t="s">
        <v>1157</v>
      </c>
      <c r="AN17" s="22" t="s">
        <v>197</v>
      </c>
      <c r="AO17" s="16" t="s">
        <v>1158</v>
      </c>
    </row>
    <row r="18" customFormat="false" ht="111.75" hidden="false" customHeight="true" outlineLevel="0" collapsed="false">
      <c r="B18" s="22" t="s">
        <v>825</v>
      </c>
      <c r="C18" s="22" t="s">
        <v>1125</v>
      </c>
      <c r="D18" s="22" t="s">
        <v>617</v>
      </c>
      <c r="E18" s="16" t="s">
        <v>618</v>
      </c>
      <c r="F18" s="16" t="s">
        <v>1159</v>
      </c>
      <c r="G18" s="16" t="s">
        <v>1102</v>
      </c>
      <c r="H18" s="16" t="s">
        <v>1103</v>
      </c>
      <c r="I18" s="16" t="s">
        <v>1160</v>
      </c>
      <c r="J18" s="22" t="s">
        <v>840</v>
      </c>
      <c r="K18" s="16" t="s">
        <v>1154</v>
      </c>
      <c r="L18" s="22" t="n">
        <v>51</v>
      </c>
      <c r="M18" s="22" t="s">
        <v>1155</v>
      </c>
      <c r="N18" s="49"/>
      <c r="O18" s="49"/>
      <c r="P18" s="49"/>
      <c r="Q18" s="49"/>
      <c r="R18" s="49"/>
      <c r="S18" s="49"/>
      <c r="T18" s="49"/>
      <c r="U18" s="49"/>
      <c r="V18" s="72" t="str">
        <f aca="false">IFERROR(IF((SUMIFS('10. Activity Data Log'!$U$7:$U$46,'10. Activity Data Log'!$C$7:$C$46,$D18,'10. Activity Data Log'!$AD$7:$AD$46,"Q1")+SUMIFS('11. Distribution Log'!$W$7:$W$46,'11. Distribution Log'!$C$7:$C$46,$D18,'11. Distribution Log'!$AI$7:$AI$46,"Q1"))=0,"",SUMIFS('10. Activity Data Log'!$U$7:$U$46,'10. Activity Data Log'!$C$7:$C$46,$D18,'10. Activity Data Log'!$AD$7:$AD$46,"Q1")+SUMIFS('11. Distribution Log'!$W$7:$W$46,'11. Distribution Log'!$C$7:$C$46,$D18,'11. Distribution Log'!$AI$7:$AI$46,"Q1")),"")</f>
        <v/>
      </c>
      <c r="W18" s="72" t="str">
        <f aca="false">IFERROR(IF((SUMIFS('10. Activity Data Log'!$U$7:$U$46,'10. Activity Data Log'!$C$7:$C$46,$D18,'10. Activity Data Log'!$AD$7:$AD$46,"Q2")+SUMIFS('11. Distribution Log'!$W$7:$W$46,'11. Distribution Log'!$C$7:$C$46,$D18,'11. Distribution Log'!$AI$7:$AI$46,"Q2"))=0,"",SUMIFS('10. Activity Data Log'!$U$7:$U$46,'10. Activity Data Log'!$C$7:$C$46,$D18,'10. Activity Data Log'!$AD$7:$AD$46,"Q2")+SUMIFS('11. Distribution Log'!$W$7:$W$46,'11. Distribution Log'!$C$7:$C$46,$D18,'11. Distribution Log'!$AI$7:$AI$46,"Q2")),"")</f>
        <v/>
      </c>
      <c r="X18" s="72" t="str">
        <f aca="false">IFERROR(IF((SUMIFS('10. Activity Data Log'!$U$7:$U$46,'10. Activity Data Log'!$C$7:$C$46,$D18,'10. Activity Data Log'!$AD$7:$AD$46,"Q3")+SUMIFS('11. Distribution Log'!$W$7:$W$46,'11. Distribution Log'!$C$7:$C$46,$D18,'11. Distribution Log'!$AI$7:$AI$46,"Q3"))=0,"",SUMIFS('10. Activity Data Log'!$U$7:$U$46,'10. Activity Data Log'!$C$7:$C$46,$D18,'10. Activity Data Log'!$AD$7:$AD$46,"Q3")+SUMIFS('11. Distribution Log'!$W$7:$W$46,'11. Distribution Log'!$C$7:$C$46,$D18,'11. Distribution Log'!$AI$7:$AI$46,"Q3")),"")</f>
        <v/>
      </c>
      <c r="Y18" s="72" t="str">
        <f aca="false">IFERROR(IF((SUMIFS('10. Activity Data Log'!$U$7:$U$46,'10. Activity Data Log'!$C$7:$C$46,$D18,'10. Activity Data Log'!$AD$7:$AD$46,"Q4")+SUMIFS('11. Distribution Log'!$W$7:$W$46,'11. Distribution Log'!$C$7:$C$46,$D18,'11. Distribution Log'!$AI$7:$AI$46,"Q4"))=0,"",SUMIFS('10. Activity Data Log'!$U$7:$U$46,'10. Activity Data Log'!$C$7:$C$46,$D18,'10. Activity Data Log'!$AD$7:$AD$46,"Q4")+SUMIFS('11. Distribution Log'!$W$7:$W$46,'11. Distribution Log'!$C$7:$C$46,$D18,'11. Distribution Log'!$AI$7:$AI$46,"Q4")),"")</f>
        <v/>
      </c>
      <c r="Z18" s="72" t="str">
        <f aca="false">IFERROR(IF((SUMIFS('10. Activity Data Log'!$U$7:$U$46,'10. Activity Data Log'!$C$7:$C$46,$D18,'10. Activity Data Log'!$AD$7:$AD$46,"Q5")+SUMIFS('11. Distribution Log'!$W$7:$W$46,'11. Distribution Log'!$C$7:$C$46,$D18,'11. Distribution Log'!$AI$7:$AI$46,"Q5"))=0,"",SUMIFS('10. Activity Data Log'!$U$7:$U$46,'10. Activity Data Log'!$C$7:$C$46,$D18,'10. Activity Data Log'!$AD$7:$AD$46,"Q5")+SUMIFS('11. Distribution Log'!$W$7:$W$46,'11. Distribution Log'!$C$7:$C$46,$D18,'11. Distribution Log'!$AI$7:$AI$46,"Q5")),"")</f>
        <v/>
      </c>
      <c r="AA18" s="72" t="str">
        <f aca="false">IFERROR(IF((SUMIFS('10. Activity Data Log'!$U$7:$U$46,'10. Activity Data Log'!$C$7:$C$46,$D18,'10. Activity Data Log'!$AD$7:$AD$46,"Q6")+SUMIFS('11. Distribution Log'!$W$7:$W$46,'11. Distribution Log'!$C$7:$C$46,$D18,'11. Distribution Log'!$AI$7:$AI$46,"Q6"))=0,"",SUMIFS('10. Activity Data Log'!$U$7:$U$46,'10. Activity Data Log'!$C$7:$C$46,$D18,'10. Activity Data Log'!$AD$7:$AD$46,"Q6")+SUMIFS('11. Distribution Log'!$W$7:$W$46,'11. Distribution Log'!$C$7:$C$46,$D18,'11. Distribution Log'!$AI$7:$AI$46,"Q6")),"")</f>
        <v/>
      </c>
      <c r="AB18" s="72" t="str">
        <f aca="false">IFERROR(IF((SUMIFS('10. Activity Data Log'!$U$7:$U$46,'10. Activity Data Log'!$C$7:$C$46,$D18,'10. Activity Data Log'!$AD$7:$AD$46,"Q7")+SUMIFS('11. Distribution Log'!$W$7:$W$46,'11. Distribution Log'!$C$7:$C$46,$D18,'11. Distribution Log'!$AI$7:$AI$46,"Q7"))=0,"",SUMIFS('10. Activity Data Log'!$U$7:$U$46,'10. Activity Data Log'!$C$7:$C$46,$D18,'10. Activity Data Log'!$AD$7:$AD$46,"Q7")+SUMIFS('11. Distribution Log'!$W$7:$W$46,'11. Distribution Log'!$C$7:$C$46,$D18,'11. Distribution Log'!$AI$7:$AI$46,"Q7")),"")</f>
        <v/>
      </c>
      <c r="AC18" s="72" t="str">
        <f aca="false">IFERROR(IF((SUMIFS('10. Activity Data Log'!$U$7:$U$46,'10. Activity Data Log'!$C$7:$C$46,$D18,'10. Activity Data Log'!$AD$7:$AD$46,"Q8")+SUMIFS('11. Distribution Log'!$W$7:$W$46,'11. Distribution Log'!$C$7:$C$46,$D18,'11. Distribution Log'!$AI$7:$AI$46,"Q8"))=0,"",SUMIFS('10. Activity Data Log'!$U$7:$U$46,'10. Activity Data Log'!$C$7:$C$46,$D18,'10. Activity Data Log'!$AD$7:$AD$46,"Q8")+SUMIFS('11. Distribution Log'!$W$7:$W$46,'11. Distribution Log'!$C$7:$C$46,$D18,'11. Distribution Log'!$AI$7:$AI$46,"Q8")),"")</f>
        <v/>
      </c>
      <c r="AD18" s="68" t="str">
        <f aca="false">IFERROR(IF(SUMPRODUCT((COLUMN(N18:U18)-COLUMN(N18)+1&lt;='7. IPTT'!$C$3)*N(N18:U18))=0,"",SUMPRODUCT((COLUMN(V18:AC18)-COLUMN(V18)+1&lt;='7. IPTT'!$C$3)*N(V18:AC18))/SUMPRODUCT((COLUMN(N18:U18)-COLUMN(N18)+1&lt;='7. IPTT'!$C$3)*N(N18:U18))),"")</f>
        <v/>
      </c>
      <c r="AE18" s="22" t="str">
        <f aca="false">IFERROR(IF(AD18="","No data yet",IF(AD18&gt;=0.9,"On Track",IF(AD18&gt;=0.7,"Slightly Behind","Behind"))),"")</f>
        <v>No data yet</v>
      </c>
      <c r="AF18" s="16" t="s">
        <v>1129</v>
      </c>
      <c r="AG18" s="16" t="s">
        <v>1129</v>
      </c>
      <c r="AH18" s="73" t="n">
        <v>193693.01</v>
      </c>
      <c r="AI18" s="74" t="n">
        <v>27698100.43</v>
      </c>
      <c r="AJ18" s="16" t="str">
        <f aca="false">IFERROR(IF(COUNTIF('10. Activity Data Log'!$C$7:$C$46,$D18)=0,"No Data Log entries yet",COUNTIF('10. Activity Data Log'!$C$7:$C$46,$D18)&amp;" entries logged, avg "&amp;TEXT(AVERAGEIF('10. Activity Data Log'!$C$7:$C$46,$D18,'10. Activity Data Log'!$AB$7:$AB$46),"0%")&amp;" of target"),"")</f>
        <v>No Data Log entries yet</v>
      </c>
      <c r="AK18" s="16" t="str">
        <f aca="false">IFERROR(IF(OR(J18="",J18="-"),"During [reporting period], FIVDB delivered: "&amp;E18&amp;" (target: "&amp;I18&amp;"). Source: "&amp;AM18&amp;".","During [reporting period], FIVDB delivered: "&amp;E18&amp;" (target: "&amp;I18&amp;"), contributing to indicator '"&amp;IFERROR(INDEX('7. IPTT'!$F$15:$F$37,MATCH(IF(ISNUMBER(FIND(",",J18)),TRIM(LEFT(J18,FIND(",",J18)-1)),TRIM(J18)),'7. IPTT'!$C$15:$C$37,0)),"")&amp;"' ("&amp;J18&amp;"). Source: "&amp;AM18&amp;"."),"During [reporting period], FIVDB delivered: "&amp;E18&amp;".")</f>
        <v>During [reporting period], FIVDB delivered: Install solar panels, lighting and fire extinguishers at all CBLFs. (target: 51 CBLFs, one-time), contributing to indicator 'Number of learning spaces established or restored to minimum standards for safe learning' (R1-I2). Source: FIVDB Detailed Budget, row 58 (Solar panels, lights, fire extinguisher).</v>
      </c>
      <c r="AL18" s="16" t="s">
        <v>1161</v>
      </c>
      <c r="AM18" s="16" t="s">
        <v>1162</v>
      </c>
      <c r="AN18" s="22" t="s">
        <v>197</v>
      </c>
      <c r="AO18" s="16" t="s">
        <v>1163</v>
      </c>
    </row>
    <row r="19" customFormat="false" ht="99" hidden="false" customHeight="true" outlineLevel="0" collapsed="false">
      <c r="B19" s="22" t="s">
        <v>825</v>
      </c>
      <c r="C19" s="22" t="s">
        <v>1125</v>
      </c>
      <c r="D19" s="22" t="s">
        <v>619</v>
      </c>
      <c r="E19" s="16" t="s">
        <v>620</v>
      </c>
      <c r="F19" s="16"/>
      <c r="G19" s="16" t="s">
        <v>1102</v>
      </c>
      <c r="H19" s="16" t="s">
        <v>1103</v>
      </c>
      <c r="I19" s="16" t="s">
        <v>1164</v>
      </c>
      <c r="J19" s="22" t="s">
        <v>840</v>
      </c>
      <c r="K19" s="16" t="s">
        <v>1154</v>
      </c>
      <c r="L19" s="22" t="n">
        <v>51</v>
      </c>
      <c r="M19" s="22" t="s">
        <v>1155</v>
      </c>
      <c r="N19" s="49"/>
      <c r="O19" s="49"/>
      <c r="P19" s="49"/>
      <c r="Q19" s="49"/>
      <c r="R19" s="49"/>
      <c r="S19" s="49"/>
      <c r="T19" s="49"/>
      <c r="U19" s="49"/>
      <c r="V19" s="72" t="str">
        <f aca="false">IFERROR(IF((SUMIFS('10. Activity Data Log'!$U$7:$U$46,'10. Activity Data Log'!$C$7:$C$46,$D19,'10. Activity Data Log'!$AD$7:$AD$46,"Q1")+SUMIFS('11. Distribution Log'!$W$7:$W$46,'11. Distribution Log'!$C$7:$C$46,$D19,'11. Distribution Log'!$AI$7:$AI$46,"Q1"))=0,"",SUMIFS('10. Activity Data Log'!$U$7:$U$46,'10. Activity Data Log'!$C$7:$C$46,$D19,'10. Activity Data Log'!$AD$7:$AD$46,"Q1")+SUMIFS('11. Distribution Log'!$W$7:$W$46,'11. Distribution Log'!$C$7:$C$46,$D19,'11. Distribution Log'!$AI$7:$AI$46,"Q1")),"")</f>
        <v/>
      </c>
      <c r="W19" s="72" t="str">
        <f aca="false">IFERROR(IF((SUMIFS('10. Activity Data Log'!$U$7:$U$46,'10. Activity Data Log'!$C$7:$C$46,$D19,'10. Activity Data Log'!$AD$7:$AD$46,"Q2")+SUMIFS('11. Distribution Log'!$W$7:$W$46,'11. Distribution Log'!$C$7:$C$46,$D19,'11. Distribution Log'!$AI$7:$AI$46,"Q2"))=0,"",SUMIFS('10. Activity Data Log'!$U$7:$U$46,'10. Activity Data Log'!$C$7:$C$46,$D19,'10. Activity Data Log'!$AD$7:$AD$46,"Q2")+SUMIFS('11. Distribution Log'!$W$7:$W$46,'11. Distribution Log'!$C$7:$C$46,$D19,'11. Distribution Log'!$AI$7:$AI$46,"Q2")),"")</f>
        <v/>
      </c>
      <c r="X19" s="72" t="str">
        <f aca="false">IFERROR(IF((SUMIFS('10. Activity Data Log'!$U$7:$U$46,'10. Activity Data Log'!$C$7:$C$46,$D19,'10. Activity Data Log'!$AD$7:$AD$46,"Q3")+SUMIFS('11. Distribution Log'!$W$7:$W$46,'11. Distribution Log'!$C$7:$C$46,$D19,'11. Distribution Log'!$AI$7:$AI$46,"Q3"))=0,"",SUMIFS('10. Activity Data Log'!$U$7:$U$46,'10. Activity Data Log'!$C$7:$C$46,$D19,'10. Activity Data Log'!$AD$7:$AD$46,"Q3")+SUMIFS('11. Distribution Log'!$W$7:$W$46,'11. Distribution Log'!$C$7:$C$46,$D19,'11. Distribution Log'!$AI$7:$AI$46,"Q3")),"")</f>
        <v/>
      </c>
      <c r="Y19" s="72" t="str">
        <f aca="false">IFERROR(IF((SUMIFS('10. Activity Data Log'!$U$7:$U$46,'10. Activity Data Log'!$C$7:$C$46,$D19,'10. Activity Data Log'!$AD$7:$AD$46,"Q4")+SUMIFS('11. Distribution Log'!$W$7:$W$46,'11. Distribution Log'!$C$7:$C$46,$D19,'11. Distribution Log'!$AI$7:$AI$46,"Q4"))=0,"",SUMIFS('10. Activity Data Log'!$U$7:$U$46,'10. Activity Data Log'!$C$7:$C$46,$D19,'10. Activity Data Log'!$AD$7:$AD$46,"Q4")+SUMIFS('11. Distribution Log'!$W$7:$W$46,'11. Distribution Log'!$C$7:$C$46,$D19,'11. Distribution Log'!$AI$7:$AI$46,"Q4")),"")</f>
        <v/>
      </c>
      <c r="Z19" s="72" t="str">
        <f aca="false">IFERROR(IF((SUMIFS('10. Activity Data Log'!$U$7:$U$46,'10. Activity Data Log'!$C$7:$C$46,$D19,'10. Activity Data Log'!$AD$7:$AD$46,"Q5")+SUMIFS('11. Distribution Log'!$W$7:$W$46,'11. Distribution Log'!$C$7:$C$46,$D19,'11. Distribution Log'!$AI$7:$AI$46,"Q5"))=0,"",SUMIFS('10. Activity Data Log'!$U$7:$U$46,'10. Activity Data Log'!$C$7:$C$46,$D19,'10. Activity Data Log'!$AD$7:$AD$46,"Q5")+SUMIFS('11. Distribution Log'!$W$7:$W$46,'11. Distribution Log'!$C$7:$C$46,$D19,'11. Distribution Log'!$AI$7:$AI$46,"Q5")),"")</f>
        <v/>
      </c>
      <c r="AA19" s="72" t="str">
        <f aca="false">IFERROR(IF((SUMIFS('10. Activity Data Log'!$U$7:$U$46,'10. Activity Data Log'!$C$7:$C$46,$D19,'10. Activity Data Log'!$AD$7:$AD$46,"Q6")+SUMIFS('11. Distribution Log'!$W$7:$W$46,'11. Distribution Log'!$C$7:$C$46,$D19,'11. Distribution Log'!$AI$7:$AI$46,"Q6"))=0,"",SUMIFS('10. Activity Data Log'!$U$7:$U$46,'10. Activity Data Log'!$C$7:$C$46,$D19,'10. Activity Data Log'!$AD$7:$AD$46,"Q6")+SUMIFS('11. Distribution Log'!$W$7:$W$46,'11. Distribution Log'!$C$7:$C$46,$D19,'11. Distribution Log'!$AI$7:$AI$46,"Q6")),"")</f>
        <v/>
      </c>
      <c r="AB19" s="72" t="str">
        <f aca="false">IFERROR(IF((SUMIFS('10. Activity Data Log'!$U$7:$U$46,'10. Activity Data Log'!$C$7:$C$46,$D19,'10. Activity Data Log'!$AD$7:$AD$46,"Q7")+SUMIFS('11. Distribution Log'!$W$7:$W$46,'11. Distribution Log'!$C$7:$C$46,$D19,'11. Distribution Log'!$AI$7:$AI$46,"Q7"))=0,"",SUMIFS('10. Activity Data Log'!$U$7:$U$46,'10. Activity Data Log'!$C$7:$C$46,$D19,'10. Activity Data Log'!$AD$7:$AD$46,"Q7")+SUMIFS('11. Distribution Log'!$W$7:$W$46,'11. Distribution Log'!$C$7:$C$46,$D19,'11. Distribution Log'!$AI$7:$AI$46,"Q7")),"")</f>
        <v/>
      </c>
      <c r="AC19" s="72" t="str">
        <f aca="false">IFERROR(IF((SUMIFS('10. Activity Data Log'!$U$7:$U$46,'10. Activity Data Log'!$C$7:$C$46,$D19,'10. Activity Data Log'!$AD$7:$AD$46,"Q8")+SUMIFS('11. Distribution Log'!$W$7:$W$46,'11. Distribution Log'!$C$7:$C$46,$D19,'11. Distribution Log'!$AI$7:$AI$46,"Q8"))=0,"",SUMIFS('10. Activity Data Log'!$U$7:$U$46,'10. Activity Data Log'!$C$7:$C$46,$D19,'10. Activity Data Log'!$AD$7:$AD$46,"Q8")+SUMIFS('11. Distribution Log'!$W$7:$W$46,'11. Distribution Log'!$C$7:$C$46,$D19,'11. Distribution Log'!$AI$7:$AI$46,"Q8")),"")</f>
        <v/>
      </c>
      <c r="AD19" s="68" t="str">
        <f aca="false">IFERROR(IF(SUMPRODUCT((COLUMN(N19:U19)-COLUMN(N19)+1&lt;='7. IPTT'!$C$3)*N(N19:U19))=0,"",SUMPRODUCT((COLUMN(V19:AC19)-COLUMN(V19)+1&lt;='7. IPTT'!$C$3)*N(V19:AC19))/SUMPRODUCT((COLUMN(N19:U19)-COLUMN(N19)+1&lt;='7. IPTT'!$C$3)*N(N19:U19))),"")</f>
        <v/>
      </c>
      <c r="AE19" s="22" t="str">
        <f aca="false">IFERROR(IF(AD19="","No data yet",IF(AD19&gt;=0.9,"On Track",IF(AD19&gt;=0.7,"Slightly Behind","Behind"))),"")</f>
        <v>No data yet</v>
      </c>
      <c r="AF19" s="16" t="s">
        <v>1129</v>
      </c>
      <c r="AG19" s="16" t="s">
        <v>1129</v>
      </c>
      <c r="AH19" s="73" t="n">
        <v>193693.01</v>
      </c>
      <c r="AI19" s="74" t="n">
        <v>27698100.43</v>
      </c>
      <c r="AJ19" s="16" t="str">
        <f aca="false">IFERROR(IF(COUNTIF('10. Activity Data Log'!$C$7:$C$46,$D19)=0,"No Data Log entries yet",COUNTIF('10. Activity Data Log'!$C$7:$C$46,$D19)&amp;" entries logged, avg "&amp;TEXT(AVERAGEIF('10. Activity Data Log'!$C$7:$C$46,$D19,'10. Activity Data Log'!$AB$7:$AB$46),"0%")&amp;" of target"),"")</f>
        <v>No Data Log entries yet</v>
      </c>
      <c r="AK19" s="16" t="str">
        <f aca="false">IFERROR(IF(OR(J19="",J19="-"),"During [reporting period], FIVDB delivered: "&amp;E19&amp;" (target: "&amp;I19&amp;"). Source: "&amp;AM19&amp;".","During [reporting period], FIVDB delivered: "&amp;E19&amp;" (target: "&amp;I19&amp;"), contributing to indicator '"&amp;IFERROR(INDEX('7. IPTT'!$F$15:$F$37,MATCH(IF(ISNUMBER(FIND(",",J19)),TRIM(LEFT(J19,FIND(",",J19)-1)),TRIM(J19)),'7. IPTT'!$C$15:$C$37,0)),"")&amp;"' ("&amp;J19&amp;"). Source: "&amp;AM19&amp;"."),"During [reporting period], FIVDB delivered: "&amp;E19&amp;".")</f>
        <v>During [reporting period], FIVDB delivered: Cover ongoing CBLF maintenance costs. (target: 51 CBLFs, half-yearly x4), contributing to indicator 'Number of learning spaces established or restored to minimum standards for safe learning' (R1-I2). Source: FIVDB Detailed Budget, row 59 (Maintenance costs for CBLF).</v>
      </c>
      <c r="AL19" s="16" t="s">
        <v>1165</v>
      </c>
      <c r="AM19" s="16" t="s">
        <v>1166</v>
      </c>
      <c r="AN19" s="22" t="s">
        <v>197</v>
      </c>
      <c r="AO19" s="16" t="s">
        <v>1167</v>
      </c>
    </row>
    <row r="20" customFormat="false" ht="111.75" hidden="false" customHeight="true" outlineLevel="0" collapsed="false">
      <c r="B20" s="22" t="s">
        <v>825</v>
      </c>
      <c r="C20" s="22" t="s">
        <v>1125</v>
      </c>
      <c r="D20" s="22" t="s">
        <v>621</v>
      </c>
      <c r="E20" s="16" t="s">
        <v>622</v>
      </c>
      <c r="F20" s="16" t="s">
        <v>1168</v>
      </c>
      <c r="G20" s="16" t="s">
        <v>1102</v>
      </c>
      <c r="H20" s="16" t="s">
        <v>1103</v>
      </c>
      <c r="I20" s="16" t="s">
        <v>1160</v>
      </c>
      <c r="J20" s="22" t="s">
        <v>1169</v>
      </c>
      <c r="K20" s="16" t="s">
        <v>1170</v>
      </c>
      <c r="L20" s="22" t="n">
        <v>51</v>
      </c>
      <c r="M20" s="22" t="s">
        <v>1155</v>
      </c>
      <c r="N20" s="49"/>
      <c r="O20" s="49"/>
      <c r="P20" s="49"/>
      <c r="Q20" s="49"/>
      <c r="R20" s="49"/>
      <c r="S20" s="49"/>
      <c r="T20" s="49"/>
      <c r="U20" s="49"/>
      <c r="V20" s="72" t="str">
        <f aca="false">IFERROR(IF((SUMIFS('10. Activity Data Log'!$U$7:$U$46,'10. Activity Data Log'!$C$7:$C$46,$D20,'10. Activity Data Log'!$AD$7:$AD$46,"Q1")+SUMIFS('11. Distribution Log'!$W$7:$W$46,'11. Distribution Log'!$C$7:$C$46,$D20,'11. Distribution Log'!$AI$7:$AI$46,"Q1"))=0,"",SUMIFS('10. Activity Data Log'!$U$7:$U$46,'10. Activity Data Log'!$C$7:$C$46,$D20,'10. Activity Data Log'!$AD$7:$AD$46,"Q1")+SUMIFS('11. Distribution Log'!$W$7:$W$46,'11. Distribution Log'!$C$7:$C$46,$D20,'11. Distribution Log'!$AI$7:$AI$46,"Q1")),"")</f>
        <v/>
      </c>
      <c r="W20" s="72" t="str">
        <f aca="false">IFERROR(IF((SUMIFS('10. Activity Data Log'!$U$7:$U$46,'10. Activity Data Log'!$C$7:$C$46,$D20,'10. Activity Data Log'!$AD$7:$AD$46,"Q2")+SUMIFS('11. Distribution Log'!$W$7:$W$46,'11. Distribution Log'!$C$7:$C$46,$D20,'11. Distribution Log'!$AI$7:$AI$46,"Q2"))=0,"",SUMIFS('10. Activity Data Log'!$U$7:$U$46,'10. Activity Data Log'!$C$7:$C$46,$D20,'10. Activity Data Log'!$AD$7:$AD$46,"Q2")+SUMIFS('11. Distribution Log'!$W$7:$W$46,'11. Distribution Log'!$C$7:$C$46,$D20,'11. Distribution Log'!$AI$7:$AI$46,"Q2")),"")</f>
        <v/>
      </c>
      <c r="X20" s="72" t="str">
        <f aca="false">IFERROR(IF((SUMIFS('10. Activity Data Log'!$U$7:$U$46,'10. Activity Data Log'!$C$7:$C$46,$D20,'10. Activity Data Log'!$AD$7:$AD$46,"Q3")+SUMIFS('11. Distribution Log'!$W$7:$W$46,'11. Distribution Log'!$C$7:$C$46,$D20,'11. Distribution Log'!$AI$7:$AI$46,"Q3"))=0,"",SUMIFS('10. Activity Data Log'!$U$7:$U$46,'10. Activity Data Log'!$C$7:$C$46,$D20,'10. Activity Data Log'!$AD$7:$AD$46,"Q3")+SUMIFS('11. Distribution Log'!$W$7:$W$46,'11. Distribution Log'!$C$7:$C$46,$D20,'11. Distribution Log'!$AI$7:$AI$46,"Q3")),"")</f>
        <v/>
      </c>
      <c r="Y20" s="72" t="str">
        <f aca="false">IFERROR(IF((SUMIFS('10. Activity Data Log'!$U$7:$U$46,'10. Activity Data Log'!$C$7:$C$46,$D20,'10. Activity Data Log'!$AD$7:$AD$46,"Q4")+SUMIFS('11. Distribution Log'!$W$7:$W$46,'11. Distribution Log'!$C$7:$C$46,$D20,'11. Distribution Log'!$AI$7:$AI$46,"Q4"))=0,"",SUMIFS('10. Activity Data Log'!$U$7:$U$46,'10. Activity Data Log'!$C$7:$C$46,$D20,'10. Activity Data Log'!$AD$7:$AD$46,"Q4")+SUMIFS('11. Distribution Log'!$W$7:$W$46,'11. Distribution Log'!$C$7:$C$46,$D20,'11. Distribution Log'!$AI$7:$AI$46,"Q4")),"")</f>
        <v/>
      </c>
      <c r="Z20" s="72" t="str">
        <f aca="false">IFERROR(IF((SUMIFS('10. Activity Data Log'!$U$7:$U$46,'10. Activity Data Log'!$C$7:$C$46,$D20,'10. Activity Data Log'!$AD$7:$AD$46,"Q5")+SUMIFS('11. Distribution Log'!$W$7:$W$46,'11. Distribution Log'!$C$7:$C$46,$D20,'11. Distribution Log'!$AI$7:$AI$46,"Q5"))=0,"",SUMIFS('10. Activity Data Log'!$U$7:$U$46,'10. Activity Data Log'!$C$7:$C$46,$D20,'10. Activity Data Log'!$AD$7:$AD$46,"Q5")+SUMIFS('11. Distribution Log'!$W$7:$W$46,'11. Distribution Log'!$C$7:$C$46,$D20,'11. Distribution Log'!$AI$7:$AI$46,"Q5")),"")</f>
        <v/>
      </c>
      <c r="AA20" s="72" t="str">
        <f aca="false">IFERROR(IF((SUMIFS('10. Activity Data Log'!$U$7:$U$46,'10. Activity Data Log'!$C$7:$C$46,$D20,'10. Activity Data Log'!$AD$7:$AD$46,"Q6")+SUMIFS('11. Distribution Log'!$W$7:$W$46,'11. Distribution Log'!$C$7:$C$46,$D20,'11. Distribution Log'!$AI$7:$AI$46,"Q6"))=0,"",SUMIFS('10. Activity Data Log'!$U$7:$U$46,'10. Activity Data Log'!$C$7:$C$46,$D20,'10. Activity Data Log'!$AD$7:$AD$46,"Q6")+SUMIFS('11. Distribution Log'!$W$7:$W$46,'11. Distribution Log'!$C$7:$C$46,$D20,'11. Distribution Log'!$AI$7:$AI$46,"Q6")),"")</f>
        <v/>
      </c>
      <c r="AB20" s="72" t="str">
        <f aca="false">IFERROR(IF((SUMIFS('10. Activity Data Log'!$U$7:$U$46,'10. Activity Data Log'!$C$7:$C$46,$D20,'10. Activity Data Log'!$AD$7:$AD$46,"Q7")+SUMIFS('11. Distribution Log'!$W$7:$W$46,'11. Distribution Log'!$C$7:$C$46,$D20,'11. Distribution Log'!$AI$7:$AI$46,"Q7"))=0,"",SUMIFS('10. Activity Data Log'!$U$7:$U$46,'10. Activity Data Log'!$C$7:$C$46,$D20,'10. Activity Data Log'!$AD$7:$AD$46,"Q7")+SUMIFS('11. Distribution Log'!$W$7:$W$46,'11. Distribution Log'!$C$7:$C$46,$D20,'11. Distribution Log'!$AI$7:$AI$46,"Q7")),"")</f>
        <v/>
      </c>
      <c r="AC20" s="72" t="str">
        <f aca="false">IFERROR(IF((SUMIFS('10. Activity Data Log'!$U$7:$U$46,'10. Activity Data Log'!$C$7:$C$46,$D20,'10. Activity Data Log'!$AD$7:$AD$46,"Q8")+SUMIFS('11. Distribution Log'!$W$7:$W$46,'11. Distribution Log'!$C$7:$C$46,$D20,'11. Distribution Log'!$AI$7:$AI$46,"Q8"))=0,"",SUMIFS('10. Activity Data Log'!$U$7:$U$46,'10. Activity Data Log'!$C$7:$C$46,$D20,'10. Activity Data Log'!$AD$7:$AD$46,"Q8")+SUMIFS('11. Distribution Log'!$W$7:$W$46,'11. Distribution Log'!$C$7:$C$46,$D20,'11. Distribution Log'!$AI$7:$AI$46,"Q8")),"")</f>
        <v/>
      </c>
      <c r="AD20" s="68" t="str">
        <f aca="false">IFERROR(IF(SUMPRODUCT((COLUMN(N20:U20)-COLUMN(N20)+1&lt;='7. IPTT'!$C$3)*N(N20:U20))=0,"",SUMPRODUCT((COLUMN(V20:AC20)-COLUMN(V20)+1&lt;='7. IPTT'!$C$3)*N(V20:AC20))/SUMPRODUCT((COLUMN(N20:U20)-COLUMN(N20)+1&lt;='7. IPTT'!$C$3)*N(N20:U20))),"")</f>
        <v/>
      </c>
      <c r="AE20" s="22" t="str">
        <f aca="false">IFERROR(IF(AD20="","No data yet",IF(AD20&gt;=0.9,"On Track",IF(AD20&gt;=0.7,"Slightly Behind","Behind"))),"")</f>
        <v>No data yet</v>
      </c>
      <c r="AF20" s="16" t="s">
        <v>1129</v>
      </c>
      <c r="AG20" s="16" t="s">
        <v>1129</v>
      </c>
      <c r="AH20" s="73" t="n">
        <v>193693.01</v>
      </c>
      <c r="AI20" s="74" t="n">
        <v>27698100.43</v>
      </c>
      <c r="AJ20" s="16" t="str">
        <f aca="false">IFERROR(IF(COUNTIF('10. Activity Data Log'!$C$7:$C$46,$D20)=0,"No Data Log entries yet",COUNTIF('10. Activity Data Log'!$C$7:$C$46,$D20)&amp;" entries logged, avg "&amp;TEXT(AVERAGEIF('10. Activity Data Log'!$C$7:$C$46,$D20,'10. Activity Data Log'!$AB$7:$AB$46),"0%")&amp;" of target"),"")</f>
        <v>No Data Log entries yet</v>
      </c>
      <c r="AK20" s="16" t="str">
        <f aca="false">IFERROR(IF(OR(J20="",J20="-"),"During [reporting period], FIVDB delivered: "&amp;E20&amp;" (target: "&amp;I20&amp;"). Source: "&amp;AM20&amp;".","During [reporting period], FIVDB delivered: "&amp;E20&amp;" (target: "&amp;I20&amp;"), contributing to indicator '"&amp;IFERROR(INDEX('7. IPTT'!$F$15:$F$37,MATCH(IF(ISNUMBER(FIND(",",J20)),TRIM(LEFT(J20,FIND(",",J20)-1)),TRIM(J20)),'7. IPTT'!$C$15:$C$37,0)),"")&amp;"' ("&amp;J20&amp;"). Source: "&amp;AM20&amp;"."),"During [reporting period], FIVDB delivered: "&amp;E20&amp;".")</f>
        <v>During [reporting period], FIVDB delivered: Produce and display IEC materials (safeguarding, child protection, PSHEA posters) at all CBLFs. (target: 51 CBLFs, one-time), contributing to indicator '' (GEN-3). Source: FIVDB Detailed Budget, row 60 (IEC materials).</v>
      </c>
      <c r="AL20" s="16" t="s">
        <v>1171</v>
      </c>
      <c r="AM20" s="16" t="s">
        <v>1172</v>
      </c>
      <c r="AN20" s="22" t="s">
        <v>197</v>
      </c>
      <c r="AO20" s="16" t="s">
        <v>1173</v>
      </c>
    </row>
    <row r="21" customFormat="false" ht="111.75" hidden="false" customHeight="true" outlineLevel="0" collapsed="false">
      <c r="B21" s="22" t="s">
        <v>825</v>
      </c>
      <c r="C21" s="22" t="s">
        <v>1125</v>
      </c>
      <c r="D21" s="22" t="s">
        <v>623</v>
      </c>
      <c r="E21" s="16" t="s">
        <v>624</v>
      </c>
      <c r="F21" s="16" t="s">
        <v>1174</v>
      </c>
      <c r="G21" s="16" t="s">
        <v>1137</v>
      </c>
      <c r="H21" s="16" t="s">
        <v>1103</v>
      </c>
      <c r="I21" s="16" t="s">
        <v>1175</v>
      </c>
      <c r="J21" s="22" t="s">
        <v>853</v>
      </c>
      <c r="K21" s="16" t="s">
        <v>1127</v>
      </c>
      <c r="L21" s="22" t="n">
        <v>68</v>
      </c>
      <c r="M21" s="22" t="s">
        <v>1176</v>
      </c>
      <c r="N21" s="49"/>
      <c r="O21" s="49"/>
      <c r="P21" s="49"/>
      <c r="Q21" s="49"/>
      <c r="R21" s="49"/>
      <c r="S21" s="49"/>
      <c r="T21" s="49"/>
      <c r="U21" s="49"/>
      <c r="V21" s="72" t="str">
        <f aca="false">IFERROR(IF((SUMIFS('10. Activity Data Log'!$U$7:$U$46,'10. Activity Data Log'!$C$7:$C$46,$D21,'10. Activity Data Log'!$AD$7:$AD$46,"Q1")+SUMIFS('11. Distribution Log'!$W$7:$W$46,'11. Distribution Log'!$C$7:$C$46,$D21,'11. Distribution Log'!$AI$7:$AI$46,"Q1"))=0,"",SUMIFS('10. Activity Data Log'!$U$7:$U$46,'10. Activity Data Log'!$C$7:$C$46,$D21,'10. Activity Data Log'!$AD$7:$AD$46,"Q1")+SUMIFS('11. Distribution Log'!$W$7:$W$46,'11. Distribution Log'!$C$7:$C$46,$D21,'11. Distribution Log'!$AI$7:$AI$46,"Q1")),"")</f>
        <v/>
      </c>
      <c r="W21" s="72" t="str">
        <f aca="false">IFERROR(IF((SUMIFS('10. Activity Data Log'!$U$7:$U$46,'10. Activity Data Log'!$C$7:$C$46,$D21,'10. Activity Data Log'!$AD$7:$AD$46,"Q2")+SUMIFS('11. Distribution Log'!$W$7:$W$46,'11. Distribution Log'!$C$7:$C$46,$D21,'11. Distribution Log'!$AI$7:$AI$46,"Q2"))=0,"",SUMIFS('10. Activity Data Log'!$U$7:$U$46,'10. Activity Data Log'!$C$7:$C$46,$D21,'10. Activity Data Log'!$AD$7:$AD$46,"Q2")+SUMIFS('11. Distribution Log'!$W$7:$W$46,'11. Distribution Log'!$C$7:$C$46,$D21,'11. Distribution Log'!$AI$7:$AI$46,"Q2")),"")</f>
        <v/>
      </c>
      <c r="X21" s="72" t="str">
        <f aca="false">IFERROR(IF((SUMIFS('10. Activity Data Log'!$U$7:$U$46,'10. Activity Data Log'!$C$7:$C$46,$D21,'10. Activity Data Log'!$AD$7:$AD$46,"Q3")+SUMIFS('11. Distribution Log'!$W$7:$W$46,'11. Distribution Log'!$C$7:$C$46,$D21,'11. Distribution Log'!$AI$7:$AI$46,"Q3"))=0,"",SUMIFS('10. Activity Data Log'!$U$7:$U$46,'10. Activity Data Log'!$C$7:$C$46,$D21,'10. Activity Data Log'!$AD$7:$AD$46,"Q3")+SUMIFS('11. Distribution Log'!$W$7:$W$46,'11. Distribution Log'!$C$7:$C$46,$D21,'11. Distribution Log'!$AI$7:$AI$46,"Q3")),"")</f>
        <v/>
      </c>
      <c r="Y21" s="72" t="str">
        <f aca="false">IFERROR(IF((SUMIFS('10. Activity Data Log'!$U$7:$U$46,'10. Activity Data Log'!$C$7:$C$46,$D21,'10. Activity Data Log'!$AD$7:$AD$46,"Q4")+SUMIFS('11. Distribution Log'!$W$7:$W$46,'11. Distribution Log'!$C$7:$C$46,$D21,'11. Distribution Log'!$AI$7:$AI$46,"Q4"))=0,"",SUMIFS('10. Activity Data Log'!$U$7:$U$46,'10. Activity Data Log'!$C$7:$C$46,$D21,'10. Activity Data Log'!$AD$7:$AD$46,"Q4")+SUMIFS('11. Distribution Log'!$W$7:$W$46,'11. Distribution Log'!$C$7:$C$46,$D21,'11. Distribution Log'!$AI$7:$AI$46,"Q4")),"")</f>
        <v/>
      </c>
      <c r="Z21" s="72" t="str">
        <f aca="false">IFERROR(IF((SUMIFS('10. Activity Data Log'!$U$7:$U$46,'10. Activity Data Log'!$C$7:$C$46,$D21,'10. Activity Data Log'!$AD$7:$AD$46,"Q5")+SUMIFS('11. Distribution Log'!$W$7:$W$46,'11. Distribution Log'!$C$7:$C$46,$D21,'11. Distribution Log'!$AI$7:$AI$46,"Q5"))=0,"",SUMIFS('10. Activity Data Log'!$U$7:$U$46,'10. Activity Data Log'!$C$7:$C$46,$D21,'10. Activity Data Log'!$AD$7:$AD$46,"Q5")+SUMIFS('11. Distribution Log'!$W$7:$W$46,'11. Distribution Log'!$C$7:$C$46,$D21,'11. Distribution Log'!$AI$7:$AI$46,"Q5")),"")</f>
        <v/>
      </c>
      <c r="AA21" s="72" t="str">
        <f aca="false">IFERROR(IF((SUMIFS('10. Activity Data Log'!$U$7:$U$46,'10. Activity Data Log'!$C$7:$C$46,$D21,'10. Activity Data Log'!$AD$7:$AD$46,"Q6")+SUMIFS('11. Distribution Log'!$W$7:$W$46,'11. Distribution Log'!$C$7:$C$46,$D21,'11. Distribution Log'!$AI$7:$AI$46,"Q6"))=0,"",SUMIFS('10. Activity Data Log'!$U$7:$U$46,'10. Activity Data Log'!$C$7:$C$46,$D21,'10. Activity Data Log'!$AD$7:$AD$46,"Q6")+SUMIFS('11. Distribution Log'!$W$7:$W$46,'11. Distribution Log'!$C$7:$C$46,$D21,'11. Distribution Log'!$AI$7:$AI$46,"Q6")),"")</f>
        <v/>
      </c>
      <c r="AB21" s="72" t="str">
        <f aca="false">IFERROR(IF((SUMIFS('10. Activity Data Log'!$U$7:$U$46,'10. Activity Data Log'!$C$7:$C$46,$D21,'10. Activity Data Log'!$AD$7:$AD$46,"Q7")+SUMIFS('11. Distribution Log'!$W$7:$W$46,'11. Distribution Log'!$C$7:$C$46,$D21,'11. Distribution Log'!$AI$7:$AI$46,"Q7"))=0,"",SUMIFS('10. Activity Data Log'!$U$7:$U$46,'10. Activity Data Log'!$C$7:$C$46,$D21,'10. Activity Data Log'!$AD$7:$AD$46,"Q7")+SUMIFS('11. Distribution Log'!$W$7:$W$46,'11. Distribution Log'!$C$7:$C$46,$D21,'11. Distribution Log'!$AI$7:$AI$46,"Q7")),"")</f>
        <v/>
      </c>
      <c r="AC21" s="72" t="str">
        <f aca="false">IFERROR(IF((SUMIFS('10. Activity Data Log'!$U$7:$U$46,'10. Activity Data Log'!$C$7:$C$46,$D21,'10. Activity Data Log'!$AD$7:$AD$46,"Q8")+SUMIFS('11. Distribution Log'!$W$7:$W$46,'11. Distribution Log'!$C$7:$C$46,$D21,'11. Distribution Log'!$AI$7:$AI$46,"Q8"))=0,"",SUMIFS('10. Activity Data Log'!$U$7:$U$46,'10. Activity Data Log'!$C$7:$C$46,$D21,'10. Activity Data Log'!$AD$7:$AD$46,"Q8")+SUMIFS('11. Distribution Log'!$W$7:$W$46,'11. Distribution Log'!$C$7:$C$46,$D21,'11. Distribution Log'!$AI$7:$AI$46,"Q8")),"")</f>
        <v/>
      </c>
      <c r="AD21" s="68" t="str">
        <f aca="false">IFERROR(IF(SUMPRODUCT((COLUMN(N21:U21)-COLUMN(N21)+1&lt;='7. IPTT'!$C$3)*N(N21:U21))=0,"",SUMPRODUCT((COLUMN(V21:AC21)-COLUMN(V21)+1&lt;='7. IPTT'!$C$3)*N(V21:AC21))/SUMPRODUCT((COLUMN(N21:U21)-COLUMN(N21)+1&lt;='7. IPTT'!$C$3)*N(N21:U21))),"")</f>
        <v/>
      </c>
      <c r="AE21" s="22" t="str">
        <f aca="false">IFERROR(IF(AD21="","No data yet",IF(AD21&gt;=0.9,"On Track",IF(AD21&gt;=0.7,"Slightly Behind","Behind"))),"")</f>
        <v>No data yet</v>
      </c>
      <c r="AF21" s="16" t="s">
        <v>1129</v>
      </c>
      <c r="AG21" s="16" t="s">
        <v>1129</v>
      </c>
      <c r="AH21" s="73" t="n">
        <v>193693.01</v>
      </c>
      <c r="AI21" s="74" t="n">
        <v>27698100.43</v>
      </c>
      <c r="AJ21" s="16" t="str">
        <f aca="false">IFERROR(IF(COUNTIF('10. Activity Data Log'!$C$7:$C$46,$D21)=0,"No Data Log entries yet",COUNTIF('10. Activity Data Log'!$C$7:$C$46,$D21)&amp;" entries logged, avg "&amp;TEXT(AVERAGEIF('10. Activity Data Log'!$C$7:$C$46,$D21,'10. Activity Data Log'!$AB$7:$AB$46),"0%")&amp;" of target"),"")</f>
        <v>No Data Log entries yet</v>
      </c>
      <c r="AK21" s="16" t="str">
        <f aca="false">IFERROR(IF(OR(J21="",J21="-"),"During [reporting period], FIVDB delivered: "&amp;E21&amp;" (target: "&amp;I21&amp;"). Source: "&amp;AM21&amp;".","During [reporting period], FIVDB delivered: "&amp;E21&amp;" (target: "&amp;I21&amp;"), contributing to indicator '"&amp;IFERROR(INDEX('7. IPTT'!$F$15:$F$37,MATCH(IF(ISNUMBER(FIND(",",J21)),TRIM(LEFT(J21,FIND(",",J21)-1)),TRIM(J21)),'7. IPTT'!$C$15:$C$37,0)),"")&amp;"' ("&amp;J21&amp;"). Source: "&amp;AM21&amp;"."),"During [reporting period], FIVDB delivered: "&amp;E21&amp;".")</f>
        <v>During [reporting period], FIVDB delivered: Provide teacher kits (diary, pens, water bottle, teacher's guide). (target: 68 teachers, 2-year supply), contributing to indicator 'Number of teachers provided with teaching aids/materials' (R1-I3). Source: FIVDB Detailed Budget, row 61 (Teacher kits: diary, pens, water bottle, guide).</v>
      </c>
      <c r="AL21" s="16" t="s">
        <v>1140</v>
      </c>
      <c r="AM21" s="16" t="s">
        <v>1177</v>
      </c>
      <c r="AN21" s="22" t="s">
        <v>197</v>
      </c>
      <c r="AO21" s="16" t="s">
        <v>1178</v>
      </c>
    </row>
    <row r="22" customFormat="false" ht="111.75" hidden="false" customHeight="true" outlineLevel="0" collapsed="false">
      <c r="B22" s="22" t="s">
        <v>825</v>
      </c>
      <c r="C22" s="22" t="s">
        <v>1125</v>
      </c>
      <c r="D22" s="22" t="s">
        <v>625</v>
      </c>
      <c r="E22" s="16" t="s">
        <v>626</v>
      </c>
      <c r="F22" s="16" t="s">
        <v>1179</v>
      </c>
      <c r="G22" s="16" t="s">
        <v>1137</v>
      </c>
      <c r="H22" s="16" t="s">
        <v>1103</v>
      </c>
      <c r="I22" s="16" t="s">
        <v>1180</v>
      </c>
      <c r="J22" s="22" t="s">
        <v>853</v>
      </c>
      <c r="K22" s="16" t="s">
        <v>1127</v>
      </c>
      <c r="L22" s="22" t="n">
        <v>68</v>
      </c>
      <c r="M22" s="22" t="s">
        <v>1176</v>
      </c>
      <c r="N22" s="49"/>
      <c r="O22" s="49"/>
      <c r="P22" s="49"/>
      <c r="Q22" s="49"/>
      <c r="R22" s="49"/>
      <c r="S22" s="49"/>
      <c r="T22" s="49"/>
      <c r="U22" s="49"/>
      <c r="V22" s="72" t="str">
        <f aca="false">IFERROR(IF((SUMIFS('10. Activity Data Log'!$U$7:$U$46,'10. Activity Data Log'!$C$7:$C$46,$D22,'10. Activity Data Log'!$AD$7:$AD$46,"Q1")+SUMIFS('11. Distribution Log'!$W$7:$W$46,'11. Distribution Log'!$C$7:$C$46,$D22,'11. Distribution Log'!$AI$7:$AI$46,"Q1"))=0,"",SUMIFS('10. Activity Data Log'!$U$7:$U$46,'10. Activity Data Log'!$C$7:$C$46,$D22,'10. Activity Data Log'!$AD$7:$AD$46,"Q1")+SUMIFS('11. Distribution Log'!$W$7:$W$46,'11. Distribution Log'!$C$7:$C$46,$D22,'11. Distribution Log'!$AI$7:$AI$46,"Q1")),"")</f>
        <v/>
      </c>
      <c r="W22" s="72" t="str">
        <f aca="false">IFERROR(IF((SUMIFS('10. Activity Data Log'!$U$7:$U$46,'10. Activity Data Log'!$C$7:$C$46,$D22,'10. Activity Data Log'!$AD$7:$AD$46,"Q2")+SUMIFS('11. Distribution Log'!$W$7:$W$46,'11. Distribution Log'!$C$7:$C$46,$D22,'11. Distribution Log'!$AI$7:$AI$46,"Q2"))=0,"",SUMIFS('10. Activity Data Log'!$U$7:$U$46,'10. Activity Data Log'!$C$7:$C$46,$D22,'10. Activity Data Log'!$AD$7:$AD$46,"Q2")+SUMIFS('11. Distribution Log'!$W$7:$W$46,'11. Distribution Log'!$C$7:$C$46,$D22,'11. Distribution Log'!$AI$7:$AI$46,"Q2")),"")</f>
        <v/>
      </c>
      <c r="X22" s="72" t="str">
        <f aca="false">IFERROR(IF((SUMIFS('10. Activity Data Log'!$U$7:$U$46,'10. Activity Data Log'!$C$7:$C$46,$D22,'10. Activity Data Log'!$AD$7:$AD$46,"Q3")+SUMIFS('11. Distribution Log'!$W$7:$W$46,'11. Distribution Log'!$C$7:$C$46,$D22,'11. Distribution Log'!$AI$7:$AI$46,"Q3"))=0,"",SUMIFS('10. Activity Data Log'!$U$7:$U$46,'10. Activity Data Log'!$C$7:$C$46,$D22,'10. Activity Data Log'!$AD$7:$AD$46,"Q3")+SUMIFS('11. Distribution Log'!$W$7:$W$46,'11. Distribution Log'!$C$7:$C$46,$D22,'11. Distribution Log'!$AI$7:$AI$46,"Q3")),"")</f>
        <v/>
      </c>
      <c r="Y22" s="72" t="str">
        <f aca="false">IFERROR(IF((SUMIFS('10. Activity Data Log'!$U$7:$U$46,'10. Activity Data Log'!$C$7:$C$46,$D22,'10. Activity Data Log'!$AD$7:$AD$46,"Q4")+SUMIFS('11. Distribution Log'!$W$7:$W$46,'11. Distribution Log'!$C$7:$C$46,$D22,'11. Distribution Log'!$AI$7:$AI$46,"Q4"))=0,"",SUMIFS('10. Activity Data Log'!$U$7:$U$46,'10. Activity Data Log'!$C$7:$C$46,$D22,'10. Activity Data Log'!$AD$7:$AD$46,"Q4")+SUMIFS('11. Distribution Log'!$W$7:$W$46,'11. Distribution Log'!$C$7:$C$46,$D22,'11. Distribution Log'!$AI$7:$AI$46,"Q4")),"")</f>
        <v/>
      </c>
      <c r="Z22" s="72" t="str">
        <f aca="false">IFERROR(IF((SUMIFS('10. Activity Data Log'!$U$7:$U$46,'10. Activity Data Log'!$C$7:$C$46,$D22,'10. Activity Data Log'!$AD$7:$AD$46,"Q5")+SUMIFS('11. Distribution Log'!$W$7:$W$46,'11. Distribution Log'!$C$7:$C$46,$D22,'11. Distribution Log'!$AI$7:$AI$46,"Q5"))=0,"",SUMIFS('10. Activity Data Log'!$U$7:$U$46,'10. Activity Data Log'!$C$7:$C$46,$D22,'10. Activity Data Log'!$AD$7:$AD$46,"Q5")+SUMIFS('11. Distribution Log'!$W$7:$W$46,'11. Distribution Log'!$C$7:$C$46,$D22,'11. Distribution Log'!$AI$7:$AI$46,"Q5")),"")</f>
        <v/>
      </c>
      <c r="AA22" s="72" t="str">
        <f aca="false">IFERROR(IF((SUMIFS('10. Activity Data Log'!$U$7:$U$46,'10. Activity Data Log'!$C$7:$C$46,$D22,'10. Activity Data Log'!$AD$7:$AD$46,"Q6")+SUMIFS('11. Distribution Log'!$W$7:$W$46,'11. Distribution Log'!$C$7:$C$46,$D22,'11. Distribution Log'!$AI$7:$AI$46,"Q6"))=0,"",SUMIFS('10. Activity Data Log'!$U$7:$U$46,'10. Activity Data Log'!$C$7:$C$46,$D22,'10. Activity Data Log'!$AD$7:$AD$46,"Q6")+SUMIFS('11. Distribution Log'!$W$7:$W$46,'11. Distribution Log'!$C$7:$C$46,$D22,'11. Distribution Log'!$AI$7:$AI$46,"Q6")),"")</f>
        <v/>
      </c>
      <c r="AB22" s="72" t="str">
        <f aca="false">IFERROR(IF((SUMIFS('10. Activity Data Log'!$U$7:$U$46,'10. Activity Data Log'!$C$7:$C$46,$D22,'10. Activity Data Log'!$AD$7:$AD$46,"Q7")+SUMIFS('11. Distribution Log'!$W$7:$W$46,'11. Distribution Log'!$C$7:$C$46,$D22,'11. Distribution Log'!$AI$7:$AI$46,"Q7"))=0,"",SUMIFS('10. Activity Data Log'!$U$7:$U$46,'10. Activity Data Log'!$C$7:$C$46,$D22,'10. Activity Data Log'!$AD$7:$AD$46,"Q7")+SUMIFS('11. Distribution Log'!$W$7:$W$46,'11. Distribution Log'!$C$7:$C$46,$D22,'11. Distribution Log'!$AI$7:$AI$46,"Q7")),"")</f>
        <v/>
      </c>
      <c r="AC22" s="72" t="str">
        <f aca="false">IFERROR(IF((SUMIFS('10. Activity Data Log'!$U$7:$U$46,'10. Activity Data Log'!$C$7:$C$46,$D22,'10. Activity Data Log'!$AD$7:$AD$46,"Q8")+SUMIFS('11. Distribution Log'!$W$7:$W$46,'11. Distribution Log'!$C$7:$C$46,$D22,'11. Distribution Log'!$AI$7:$AI$46,"Q8"))=0,"",SUMIFS('10. Activity Data Log'!$U$7:$U$46,'10. Activity Data Log'!$C$7:$C$46,$D22,'10. Activity Data Log'!$AD$7:$AD$46,"Q8")+SUMIFS('11. Distribution Log'!$W$7:$W$46,'11. Distribution Log'!$C$7:$C$46,$D22,'11. Distribution Log'!$AI$7:$AI$46,"Q8")),"")</f>
        <v/>
      </c>
      <c r="AD22" s="68" t="str">
        <f aca="false">IFERROR(IF(SUMPRODUCT((COLUMN(N22:U22)-COLUMN(N22)+1&lt;='7. IPTT'!$C$3)*N(N22:U22))=0,"",SUMPRODUCT((COLUMN(V22:AC22)-COLUMN(V22)+1&lt;='7. IPTT'!$C$3)*N(V22:AC22))/SUMPRODUCT((COLUMN(N22:U22)-COLUMN(N22)+1&lt;='7. IPTT'!$C$3)*N(N22:U22))),"")</f>
        <v/>
      </c>
      <c r="AE22" s="22" t="str">
        <f aca="false">IFERROR(IF(AD22="","No data yet",IF(AD22&gt;=0.9,"On Track",IF(AD22&gt;=0.7,"Slightly Behind","Behind"))),"")</f>
        <v>No data yet</v>
      </c>
      <c r="AF22" s="16" t="s">
        <v>1129</v>
      </c>
      <c r="AG22" s="16" t="s">
        <v>1129</v>
      </c>
      <c r="AH22" s="73" t="n">
        <v>193693.01</v>
      </c>
      <c r="AI22" s="74" t="n">
        <v>27698100.43</v>
      </c>
      <c r="AJ22" s="16" t="str">
        <f aca="false">IFERROR(IF(COUNTIF('10. Activity Data Log'!$C$7:$C$46,$D22)=0,"No Data Log entries yet",COUNTIF('10. Activity Data Log'!$C$7:$C$46,$D22)&amp;" entries logged, avg "&amp;TEXT(AVERAGEIF('10. Activity Data Log'!$C$7:$C$46,$D22,'10. Activity Data Log'!$AB$7:$AB$46),"0%")&amp;" of target"),"")</f>
        <v>No Data Log entries yet</v>
      </c>
      <c r="AK22" s="16" t="str">
        <f aca="false">IFERROR(IF(OR(J22="",J22="-"),"During [reporting period], FIVDB delivered: "&amp;E22&amp;" (target: "&amp;I22&amp;"). Source: "&amp;AM22&amp;".","During [reporting period], FIVDB delivered: "&amp;E22&amp;" (target: "&amp;I22&amp;"), contributing to indicator '"&amp;IFERROR(INDEX('7. IPTT'!$F$15:$F$37,MATCH(IF(ISNUMBER(FIND(",",J22)),TRIM(LEFT(J22,FIND(",",J22)-1)),TRIM(J22)),'7. IPTT'!$C$15:$C$37,0)),"")&amp;"' ("&amp;J22&amp;"). Source: "&amp;AM22&amp;"."),"During [reporting period], FIVDB delivered: "&amp;E22&amp;".")</f>
        <v>During [reporting period], FIVDB delivered: Provide teacher kits (bag and umbrella), annual distribution. (target: 68 teachers, annual), contributing to indicator 'Number of teachers provided with teaching aids/materials' (R1-I3). Source: FIVDB Detailed Budget, row 62 (Teacher kits: bag + umbrella).</v>
      </c>
      <c r="AL22" s="16" t="s">
        <v>1140</v>
      </c>
      <c r="AM22" s="16" t="s">
        <v>1181</v>
      </c>
      <c r="AN22" s="22" t="s">
        <v>197</v>
      </c>
      <c r="AO22" s="16" t="s">
        <v>1182</v>
      </c>
    </row>
    <row r="23" customFormat="false" ht="19.5" hidden="false" customHeight="true" outlineLevel="0" collapsed="false">
      <c r="B23" s="66" t="s">
        <v>1183</v>
      </c>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row>
    <row r="24" customFormat="false" ht="111.75" hidden="false" customHeight="true" outlineLevel="0" collapsed="false">
      <c r="B24" s="22" t="s">
        <v>825</v>
      </c>
      <c r="C24" s="22" t="s">
        <v>1184</v>
      </c>
      <c r="D24" s="22" t="s">
        <v>627</v>
      </c>
      <c r="E24" s="16" t="s">
        <v>628</v>
      </c>
      <c r="F24" s="16" t="s">
        <v>1185</v>
      </c>
      <c r="G24" s="16" t="s">
        <v>1137</v>
      </c>
      <c r="H24" s="16" t="s">
        <v>1103</v>
      </c>
      <c r="I24" s="16" t="s">
        <v>1186</v>
      </c>
      <c r="J24" s="22" t="s">
        <v>864</v>
      </c>
      <c r="K24" s="16" t="s">
        <v>1139</v>
      </c>
      <c r="L24" s="22" t="n">
        <v>820</v>
      </c>
      <c r="M24" s="22" t="s">
        <v>1187</v>
      </c>
      <c r="N24" s="49"/>
      <c r="O24" s="49"/>
      <c r="P24" s="49"/>
      <c r="Q24" s="49"/>
      <c r="R24" s="49"/>
      <c r="S24" s="49"/>
      <c r="T24" s="49"/>
      <c r="U24" s="49"/>
      <c r="V24" s="72" t="str">
        <f aca="false">IFERROR(IF((SUMIFS('10. Activity Data Log'!$U$7:$U$46,'10. Activity Data Log'!$C$7:$C$46,$D24,'10. Activity Data Log'!$AD$7:$AD$46,"Q1")+SUMIFS('11. Distribution Log'!$W$7:$W$46,'11. Distribution Log'!$C$7:$C$46,$D24,'11. Distribution Log'!$AI$7:$AI$46,"Q1"))=0,"",SUMIFS('10. Activity Data Log'!$U$7:$U$46,'10. Activity Data Log'!$C$7:$C$46,$D24,'10. Activity Data Log'!$AD$7:$AD$46,"Q1")+SUMIFS('11. Distribution Log'!$W$7:$W$46,'11. Distribution Log'!$C$7:$C$46,$D24,'11. Distribution Log'!$AI$7:$AI$46,"Q1")),"")</f>
        <v/>
      </c>
      <c r="W24" s="72" t="str">
        <f aca="false">IFERROR(IF((SUMIFS('10. Activity Data Log'!$U$7:$U$46,'10. Activity Data Log'!$C$7:$C$46,$D24,'10. Activity Data Log'!$AD$7:$AD$46,"Q2")+SUMIFS('11. Distribution Log'!$W$7:$W$46,'11. Distribution Log'!$C$7:$C$46,$D24,'11. Distribution Log'!$AI$7:$AI$46,"Q2"))=0,"",SUMIFS('10. Activity Data Log'!$U$7:$U$46,'10. Activity Data Log'!$C$7:$C$46,$D24,'10. Activity Data Log'!$AD$7:$AD$46,"Q2")+SUMIFS('11. Distribution Log'!$W$7:$W$46,'11. Distribution Log'!$C$7:$C$46,$D24,'11. Distribution Log'!$AI$7:$AI$46,"Q2")),"")</f>
        <v/>
      </c>
      <c r="X24" s="72" t="str">
        <f aca="false">IFERROR(IF((SUMIFS('10. Activity Data Log'!$U$7:$U$46,'10. Activity Data Log'!$C$7:$C$46,$D24,'10. Activity Data Log'!$AD$7:$AD$46,"Q3")+SUMIFS('11. Distribution Log'!$W$7:$W$46,'11. Distribution Log'!$C$7:$C$46,$D24,'11. Distribution Log'!$AI$7:$AI$46,"Q3"))=0,"",SUMIFS('10. Activity Data Log'!$U$7:$U$46,'10. Activity Data Log'!$C$7:$C$46,$D24,'10. Activity Data Log'!$AD$7:$AD$46,"Q3")+SUMIFS('11. Distribution Log'!$W$7:$W$46,'11. Distribution Log'!$C$7:$C$46,$D24,'11. Distribution Log'!$AI$7:$AI$46,"Q3")),"")</f>
        <v/>
      </c>
      <c r="Y24" s="72" t="str">
        <f aca="false">IFERROR(IF((SUMIFS('10. Activity Data Log'!$U$7:$U$46,'10. Activity Data Log'!$C$7:$C$46,$D24,'10. Activity Data Log'!$AD$7:$AD$46,"Q4")+SUMIFS('11. Distribution Log'!$W$7:$W$46,'11. Distribution Log'!$C$7:$C$46,$D24,'11. Distribution Log'!$AI$7:$AI$46,"Q4"))=0,"",SUMIFS('10. Activity Data Log'!$U$7:$U$46,'10. Activity Data Log'!$C$7:$C$46,$D24,'10. Activity Data Log'!$AD$7:$AD$46,"Q4")+SUMIFS('11. Distribution Log'!$W$7:$W$46,'11. Distribution Log'!$C$7:$C$46,$D24,'11. Distribution Log'!$AI$7:$AI$46,"Q4")),"")</f>
        <v/>
      </c>
      <c r="Z24" s="72" t="str">
        <f aca="false">IFERROR(IF((SUMIFS('10. Activity Data Log'!$U$7:$U$46,'10. Activity Data Log'!$C$7:$C$46,$D24,'10. Activity Data Log'!$AD$7:$AD$46,"Q5")+SUMIFS('11. Distribution Log'!$W$7:$W$46,'11. Distribution Log'!$C$7:$C$46,$D24,'11. Distribution Log'!$AI$7:$AI$46,"Q5"))=0,"",SUMIFS('10. Activity Data Log'!$U$7:$U$46,'10. Activity Data Log'!$C$7:$C$46,$D24,'10. Activity Data Log'!$AD$7:$AD$46,"Q5")+SUMIFS('11. Distribution Log'!$W$7:$W$46,'11. Distribution Log'!$C$7:$C$46,$D24,'11. Distribution Log'!$AI$7:$AI$46,"Q5")),"")</f>
        <v/>
      </c>
      <c r="AA24" s="72" t="str">
        <f aca="false">IFERROR(IF((SUMIFS('10. Activity Data Log'!$U$7:$U$46,'10. Activity Data Log'!$C$7:$C$46,$D24,'10. Activity Data Log'!$AD$7:$AD$46,"Q6")+SUMIFS('11. Distribution Log'!$W$7:$W$46,'11. Distribution Log'!$C$7:$C$46,$D24,'11. Distribution Log'!$AI$7:$AI$46,"Q6"))=0,"",SUMIFS('10. Activity Data Log'!$U$7:$U$46,'10. Activity Data Log'!$C$7:$C$46,$D24,'10. Activity Data Log'!$AD$7:$AD$46,"Q6")+SUMIFS('11. Distribution Log'!$W$7:$W$46,'11. Distribution Log'!$C$7:$C$46,$D24,'11. Distribution Log'!$AI$7:$AI$46,"Q6")),"")</f>
        <v/>
      </c>
      <c r="AB24" s="72" t="str">
        <f aca="false">IFERROR(IF((SUMIFS('10. Activity Data Log'!$U$7:$U$46,'10. Activity Data Log'!$C$7:$C$46,$D24,'10. Activity Data Log'!$AD$7:$AD$46,"Q7")+SUMIFS('11. Distribution Log'!$W$7:$W$46,'11. Distribution Log'!$C$7:$C$46,$D24,'11. Distribution Log'!$AI$7:$AI$46,"Q7"))=0,"",SUMIFS('10. Activity Data Log'!$U$7:$U$46,'10. Activity Data Log'!$C$7:$C$46,$D24,'10. Activity Data Log'!$AD$7:$AD$46,"Q7")+SUMIFS('11. Distribution Log'!$W$7:$W$46,'11. Distribution Log'!$C$7:$C$46,$D24,'11. Distribution Log'!$AI$7:$AI$46,"Q7")),"")</f>
        <v/>
      </c>
      <c r="AC24" s="72" t="str">
        <f aca="false">IFERROR(IF((SUMIFS('10. Activity Data Log'!$U$7:$U$46,'10. Activity Data Log'!$C$7:$C$46,$D24,'10. Activity Data Log'!$AD$7:$AD$46,"Q8")+SUMIFS('11. Distribution Log'!$W$7:$W$46,'11. Distribution Log'!$C$7:$C$46,$D24,'11. Distribution Log'!$AI$7:$AI$46,"Q8"))=0,"",SUMIFS('10. Activity Data Log'!$U$7:$U$46,'10. Activity Data Log'!$C$7:$C$46,$D24,'10. Activity Data Log'!$AD$7:$AD$46,"Q8")+SUMIFS('11. Distribution Log'!$W$7:$W$46,'11. Distribution Log'!$C$7:$C$46,$D24,'11. Distribution Log'!$AI$7:$AI$46,"Q8")),"")</f>
        <v/>
      </c>
      <c r="AD24" s="68" t="str">
        <f aca="false">IFERROR(IF(SUMPRODUCT((COLUMN(N24:U24)-COLUMN(N24)+1&lt;='7. IPTT'!$C$3)*N(N24:U24))=0,"",SUMPRODUCT((COLUMN(V24:AC24)-COLUMN(V24)+1&lt;='7. IPTT'!$C$3)*N(V24:AC24))/SUMPRODUCT((COLUMN(N24:U24)-COLUMN(N24)+1&lt;='7. IPTT'!$C$3)*N(N24:U24))),"")</f>
        <v/>
      </c>
      <c r="AE24" s="22" t="str">
        <f aca="false">IFERROR(IF(AD24="","No data yet",IF(AD24&gt;=0.9,"On Track",IF(AD24&gt;=0.7,"Slightly Behind","Behind"))),"")</f>
        <v>No data yet</v>
      </c>
      <c r="AF24" s="16" t="s">
        <v>1188</v>
      </c>
      <c r="AG24" s="16" t="s">
        <v>1188</v>
      </c>
      <c r="AH24" s="73" t="n">
        <v>17204.48</v>
      </c>
      <c r="AI24" s="74" t="n">
        <v>2460240.64</v>
      </c>
      <c r="AJ24" s="16" t="str">
        <f aca="false">IFERROR(IF(COUNTIF('10. Activity Data Log'!$C$7:$C$46,$D24)=0,"No Data Log entries yet",COUNTIF('10. Activity Data Log'!$C$7:$C$46,$D24)&amp;" entries logged, avg "&amp;TEXT(AVERAGEIF('10. Activity Data Log'!$C$7:$C$46,$D24,'10. Activity Data Log'!$AB$7:$AB$46),"0%")&amp;" of target"),"")</f>
        <v>No Data Log entries yet</v>
      </c>
      <c r="AK24" s="16" t="str">
        <f aca="false">IFERROR(IF(OR(J24="",J24="-"),"During [reporting period], FIVDB delivered: "&amp;E24&amp;" (target: "&amp;I24&amp;"). Source: "&amp;AM24&amp;".","During [reporting period], FIVDB delivered: "&amp;E24&amp;" (target: "&amp;I24&amp;"), contributing to indicator '"&amp;IFERROR(INDEX('7. IPTT'!$F$15:$F$37,MATCH(IF(ISNUMBER(FIND(",",J24)),TRIM(LEFT(J24,FIND(",",J24)-1)),TRIM(J24)),'7. IPTT'!$C$15:$C$37,0)),"")&amp;"' ("&amp;J24&amp;"). Source: "&amp;AM24&amp;"."),"During [reporting period], FIVDB delivered: "&amp;E24&amp;".")</f>
        <v>During [reporting period], FIVDB delivered: Distribute standard MHM kits (reusable pads, underwear, laundry soap) to adolescent girls. (target: ~820 girls, 2-year supply), contributing to indicator 'Number of girls and boys provided with learning materials' (R1-I4). Source: FIVDB Detailed Budget, row 66 (Standard MHM kits with reusable pads, underwear, laundry soap).</v>
      </c>
      <c r="AL24" s="16" t="s">
        <v>1189</v>
      </c>
      <c r="AM24" s="16" t="s">
        <v>1190</v>
      </c>
      <c r="AN24" s="22" t="s">
        <v>197</v>
      </c>
      <c r="AO24" s="16" t="s">
        <v>1191</v>
      </c>
    </row>
    <row r="25" customFormat="false" ht="19.5" hidden="false" customHeight="true" outlineLevel="0" collapsed="false">
      <c r="B25" s="66" t="s">
        <v>1192</v>
      </c>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row>
    <row r="26" customFormat="false" ht="99" hidden="false" customHeight="true" outlineLevel="0" collapsed="false">
      <c r="B26" s="22" t="s">
        <v>825</v>
      </c>
      <c r="C26" s="22" t="s">
        <v>1193</v>
      </c>
      <c r="D26" s="22" t="s">
        <v>629</v>
      </c>
      <c r="E26" s="16" t="s">
        <v>630</v>
      </c>
      <c r="F26" s="16"/>
      <c r="G26" s="16" t="s">
        <v>1194</v>
      </c>
      <c r="H26" s="16" t="s">
        <v>1103</v>
      </c>
      <c r="I26" s="16" t="s">
        <v>1195</v>
      </c>
      <c r="J26" s="22" t="s">
        <v>875</v>
      </c>
      <c r="K26" s="16" t="s">
        <v>1196</v>
      </c>
      <c r="L26" s="22" t="n">
        <v>68</v>
      </c>
      <c r="M26" s="22" t="s">
        <v>1197</v>
      </c>
      <c r="N26" s="49"/>
      <c r="O26" s="49"/>
      <c r="P26" s="49"/>
      <c r="Q26" s="49"/>
      <c r="R26" s="49"/>
      <c r="S26" s="49"/>
      <c r="T26" s="49"/>
      <c r="U26" s="49"/>
      <c r="V26" s="72" t="str">
        <f aca="false">IFERROR(IF((SUMIFS('10. Activity Data Log'!$U$7:$U$46,'10. Activity Data Log'!$C$7:$C$46,$D26,'10. Activity Data Log'!$AD$7:$AD$46,"Q1")+SUMIFS('11. Distribution Log'!$W$7:$W$46,'11. Distribution Log'!$C$7:$C$46,$D26,'11. Distribution Log'!$AI$7:$AI$46,"Q1"))=0,"",SUMIFS('10. Activity Data Log'!$U$7:$U$46,'10. Activity Data Log'!$C$7:$C$46,$D26,'10. Activity Data Log'!$AD$7:$AD$46,"Q1")+SUMIFS('11. Distribution Log'!$W$7:$W$46,'11. Distribution Log'!$C$7:$C$46,$D26,'11. Distribution Log'!$AI$7:$AI$46,"Q1")),"")</f>
        <v/>
      </c>
      <c r="W26" s="72" t="str">
        <f aca="false">IFERROR(IF((SUMIFS('10. Activity Data Log'!$U$7:$U$46,'10. Activity Data Log'!$C$7:$C$46,$D26,'10. Activity Data Log'!$AD$7:$AD$46,"Q2")+SUMIFS('11. Distribution Log'!$W$7:$W$46,'11. Distribution Log'!$C$7:$C$46,$D26,'11. Distribution Log'!$AI$7:$AI$46,"Q2"))=0,"",SUMIFS('10. Activity Data Log'!$U$7:$U$46,'10. Activity Data Log'!$C$7:$C$46,$D26,'10. Activity Data Log'!$AD$7:$AD$46,"Q2")+SUMIFS('11. Distribution Log'!$W$7:$W$46,'11. Distribution Log'!$C$7:$C$46,$D26,'11. Distribution Log'!$AI$7:$AI$46,"Q2")),"")</f>
        <v/>
      </c>
      <c r="X26" s="72" t="str">
        <f aca="false">IFERROR(IF((SUMIFS('10. Activity Data Log'!$U$7:$U$46,'10. Activity Data Log'!$C$7:$C$46,$D26,'10. Activity Data Log'!$AD$7:$AD$46,"Q3")+SUMIFS('11. Distribution Log'!$W$7:$W$46,'11. Distribution Log'!$C$7:$C$46,$D26,'11. Distribution Log'!$AI$7:$AI$46,"Q3"))=0,"",SUMIFS('10. Activity Data Log'!$U$7:$U$46,'10. Activity Data Log'!$C$7:$C$46,$D26,'10. Activity Data Log'!$AD$7:$AD$46,"Q3")+SUMIFS('11. Distribution Log'!$W$7:$W$46,'11. Distribution Log'!$C$7:$C$46,$D26,'11. Distribution Log'!$AI$7:$AI$46,"Q3")),"")</f>
        <v/>
      </c>
      <c r="Y26" s="72" t="str">
        <f aca="false">IFERROR(IF((SUMIFS('10. Activity Data Log'!$U$7:$U$46,'10. Activity Data Log'!$C$7:$C$46,$D26,'10. Activity Data Log'!$AD$7:$AD$46,"Q4")+SUMIFS('11. Distribution Log'!$W$7:$W$46,'11. Distribution Log'!$C$7:$C$46,$D26,'11. Distribution Log'!$AI$7:$AI$46,"Q4"))=0,"",SUMIFS('10. Activity Data Log'!$U$7:$U$46,'10. Activity Data Log'!$C$7:$C$46,$D26,'10. Activity Data Log'!$AD$7:$AD$46,"Q4")+SUMIFS('11. Distribution Log'!$W$7:$W$46,'11. Distribution Log'!$C$7:$C$46,$D26,'11. Distribution Log'!$AI$7:$AI$46,"Q4")),"")</f>
        <v/>
      </c>
      <c r="Z26" s="72" t="str">
        <f aca="false">IFERROR(IF((SUMIFS('10. Activity Data Log'!$U$7:$U$46,'10. Activity Data Log'!$C$7:$C$46,$D26,'10. Activity Data Log'!$AD$7:$AD$46,"Q5")+SUMIFS('11. Distribution Log'!$W$7:$W$46,'11. Distribution Log'!$C$7:$C$46,$D26,'11. Distribution Log'!$AI$7:$AI$46,"Q5"))=0,"",SUMIFS('10. Activity Data Log'!$U$7:$U$46,'10. Activity Data Log'!$C$7:$C$46,$D26,'10. Activity Data Log'!$AD$7:$AD$46,"Q5")+SUMIFS('11. Distribution Log'!$W$7:$W$46,'11. Distribution Log'!$C$7:$C$46,$D26,'11. Distribution Log'!$AI$7:$AI$46,"Q5")),"")</f>
        <v/>
      </c>
      <c r="AA26" s="72" t="str">
        <f aca="false">IFERROR(IF((SUMIFS('10. Activity Data Log'!$U$7:$U$46,'10. Activity Data Log'!$C$7:$C$46,$D26,'10. Activity Data Log'!$AD$7:$AD$46,"Q6")+SUMIFS('11. Distribution Log'!$W$7:$W$46,'11. Distribution Log'!$C$7:$C$46,$D26,'11. Distribution Log'!$AI$7:$AI$46,"Q6"))=0,"",SUMIFS('10. Activity Data Log'!$U$7:$U$46,'10. Activity Data Log'!$C$7:$C$46,$D26,'10. Activity Data Log'!$AD$7:$AD$46,"Q6")+SUMIFS('11. Distribution Log'!$W$7:$W$46,'11. Distribution Log'!$C$7:$C$46,$D26,'11. Distribution Log'!$AI$7:$AI$46,"Q6")),"")</f>
        <v/>
      </c>
      <c r="AB26" s="72" t="str">
        <f aca="false">IFERROR(IF((SUMIFS('10. Activity Data Log'!$U$7:$U$46,'10. Activity Data Log'!$C$7:$C$46,$D26,'10. Activity Data Log'!$AD$7:$AD$46,"Q7")+SUMIFS('11. Distribution Log'!$W$7:$W$46,'11. Distribution Log'!$C$7:$C$46,$D26,'11. Distribution Log'!$AI$7:$AI$46,"Q7"))=0,"",SUMIFS('10. Activity Data Log'!$U$7:$U$46,'10. Activity Data Log'!$C$7:$C$46,$D26,'10. Activity Data Log'!$AD$7:$AD$46,"Q7")+SUMIFS('11. Distribution Log'!$W$7:$W$46,'11. Distribution Log'!$C$7:$C$46,$D26,'11. Distribution Log'!$AI$7:$AI$46,"Q7")),"")</f>
        <v/>
      </c>
      <c r="AC26" s="72" t="str">
        <f aca="false">IFERROR(IF((SUMIFS('10. Activity Data Log'!$U$7:$U$46,'10. Activity Data Log'!$C$7:$C$46,$D26,'10. Activity Data Log'!$AD$7:$AD$46,"Q8")+SUMIFS('11. Distribution Log'!$W$7:$W$46,'11. Distribution Log'!$C$7:$C$46,$D26,'11. Distribution Log'!$AI$7:$AI$46,"Q8"))=0,"",SUMIFS('10. Activity Data Log'!$U$7:$U$46,'10. Activity Data Log'!$C$7:$C$46,$D26,'10. Activity Data Log'!$AD$7:$AD$46,"Q8")+SUMIFS('11. Distribution Log'!$W$7:$W$46,'11. Distribution Log'!$C$7:$C$46,$D26,'11. Distribution Log'!$AI$7:$AI$46,"Q8")),"")</f>
        <v/>
      </c>
      <c r="AD26" s="68" t="str">
        <f aca="false">IFERROR(IF(SUMPRODUCT((COLUMN(N26:U26)-COLUMN(N26)+1&lt;='7. IPTT'!$C$3)*N(N26:U26))=0,"",SUMPRODUCT((COLUMN(V26:AC26)-COLUMN(V26)+1&lt;='7. IPTT'!$C$3)*N(V26:AC26))/SUMPRODUCT((COLUMN(N26:U26)-COLUMN(N26)+1&lt;='7. IPTT'!$C$3)*N(N26:U26))),"")</f>
        <v/>
      </c>
      <c r="AE26" s="22" t="str">
        <f aca="false">IFERROR(IF(AD26="","No data yet",IF(AD26&gt;=0.9,"On Track",IF(AD26&gt;=0.7,"Slightly Behind","Behind"))),"")</f>
        <v>No data yet</v>
      </c>
      <c r="AF26" s="16" t="s">
        <v>1198</v>
      </c>
      <c r="AG26" s="16" t="s">
        <v>1198</v>
      </c>
      <c r="AH26" s="73" t="n">
        <v>8727.27</v>
      </c>
      <c r="AI26" s="74" t="n">
        <v>1247999.61</v>
      </c>
      <c r="AJ26" s="16" t="str">
        <f aca="false">IFERROR(IF(COUNTIF('10. Activity Data Log'!$C$7:$C$46,$D26)=0,"No Data Log entries yet",COUNTIF('10. Activity Data Log'!$C$7:$C$46,$D26)&amp;" entries logged, avg "&amp;TEXT(AVERAGEIF('10. Activity Data Log'!$C$7:$C$46,$D26,'10. Activity Data Log'!$AB$7:$AB$46),"0%")&amp;" of target"),"")</f>
        <v>No Data Log entries yet</v>
      </c>
      <c r="AK26" s="16" t="str">
        <f aca="false">IFERROR(IF(OR(J26="",J26="-"),"During [reporting period], FIVDB delivered: "&amp;E26&amp;" (target: "&amp;I26&amp;"). Source: "&amp;AM26&amp;".","During [reporting period], FIVDB delivered: "&amp;E26&amp;" (target: "&amp;I26&amp;"), contributing to indicator '"&amp;IFERROR(INDEX('7. IPTT'!$F$15:$F$37,MATCH(IF(ISNUMBER(FIND(",",J26)),TRIM(LEFT(J26,FIND(",",J26)-1)),TRIM(J26)),'7. IPTT'!$C$15:$C$37,0)),"")&amp;"' ("&amp;J26&amp;"). Source: "&amp;AM26&amp;"."),"During [reporting period], FIVDB delivered: "&amp;E26&amp;".")</f>
        <v>During [reporting period], FIVDB delivered: Deliver the 5-day basic training for teaching volunteers (once every 2 years, TiCC-aligned, CBLF-based). (target: 68 participants, 5 days), contributing to indicator 'Number of teachers/education personnel showing increased knowledge and teaching skills to address children's learning needs' (R1-I5). Source: FIVDB Detailed Budget, rows 69-71 (Cascade down basic training).</v>
      </c>
      <c r="AL26" s="16" t="s">
        <v>1199</v>
      </c>
      <c r="AM26" s="16" t="s">
        <v>1200</v>
      </c>
      <c r="AN26" s="22" t="s">
        <v>197</v>
      </c>
      <c r="AO26" s="16" t="s">
        <v>1201</v>
      </c>
    </row>
    <row r="27" customFormat="false" ht="99" hidden="false" customHeight="true" outlineLevel="0" collapsed="false">
      <c r="B27" s="22" t="s">
        <v>825</v>
      </c>
      <c r="C27" s="22" t="s">
        <v>1193</v>
      </c>
      <c r="D27" s="22" t="s">
        <v>631</v>
      </c>
      <c r="E27" s="16" t="s">
        <v>632</v>
      </c>
      <c r="F27" s="16"/>
      <c r="G27" s="16" t="s">
        <v>1194</v>
      </c>
      <c r="H27" s="16" t="s">
        <v>1103</v>
      </c>
      <c r="I27" s="16" t="s">
        <v>1202</v>
      </c>
      <c r="J27" s="22" t="s">
        <v>875</v>
      </c>
      <c r="K27" s="16" t="s">
        <v>1196</v>
      </c>
      <c r="L27" s="22" t="n">
        <v>68</v>
      </c>
      <c r="M27" s="22" t="s">
        <v>1197</v>
      </c>
      <c r="N27" s="49"/>
      <c r="O27" s="49"/>
      <c r="P27" s="49"/>
      <c r="Q27" s="49"/>
      <c r="R27" s="49"/>
      <c r="S27" s="49"/>
      <c r="T27" s="49"/>
      <c r="U27" s="49"/>
      <c r="V27" s="72" t="str">
        <f aca="false">IFERROR(IF((SUMIFS('10. Activity Data Log'!$U$7:$U$46,'10. Activity Data Log'!$C$7:$C$46,$D27,'10. Activity Data Log'!$AD$7:$AD$46,"Q1")+SUMIFS('11. Distribution Log'!$W$7:$W$46,'11. Distribution Log'!$C$7:$C$46,$D27,'11. Distribution Log'!$AI$7:$AI$46,"Q1"))=0,"",SUMIFS('10. Activity Data Log'!$U$7:$U$46,'10. Activity Data Log'!$C$7:$C$46,$D27,'10. Activity Data Log'!$AD$7:$AD$46,"Q1")+SUMIFS('11. Distribution Log'!$W$7:$W$46,'11. Distribution Log'!$C$7:$C$46,$D27,'11. Distribution Log'!$AI$7:$AI$46,"Q1")),"")</f>
        <v/>
      </c>
      <c r="W27" s="72" t="str">
        <f aca="false">IFERROR(IF((SUMIFS('10. Activity Data Log'!$U$7:$U$46,'10. Activity Data Log'!$C$7:$C$46,$D27,'10. Activity Data Log'!$AD$7:$AD$46,"Q2")+SUMIFS('11. Distribution Log'!$W$7:$W$46,'11. Distribution Log'!$C$7:$C$46,$D27,'11. Distribution Log'!$AI$7:$AI$46,"Q2"))=0,"",SUMIFS('10. Activity Data Log'!$U$7:$U$46,'10. Activity Data Log'!$C$7:$C$46,$D27,'10. Activity Data Log'!$AD$7:$AD$46,"Q2")+SUMIFS('11. Distribution Log'!$W$7:$W$46,'11. Distribution Log'!$C$7:$C$46,$D27,'11. Distribution Log'!$AI$7:$AI$46,"Q2")),"")</f>
        <v/>
      </c>
      <c r="X27" s="72" t="str">
        <f aca="false">IFERROR(IF((SUMIFS('10. Activity Data Log'!$U$7:$U$46,'10. Activity Data Log'!$C$7:$C$46,$D27,'10. Activity Data Log'!$AD$7:$AD$46,"Q3")+SUMIFS('11. Distribution Log'!$W$7:$W$46,'11. Distribution Log'!$C$7:$C$46,$D27,'11. Distribution Log'!$AI$7:$AI$46,"Q3"))=0,"",SUMIFS('10. Activity Data Log'!$U$7:$U$46,'10. Activity Data Log'!$C$7:$C$46,$D27,'10. Activity Data Log'!$AD$7:$AD$46,"Q3")+SUMIFS('11. Distribution Log'!$W$7:$W$46,'11. Distribution Log'!$C$7:$C$46,$D27,'11. Distribution Log'!$AI$7:$AI$46,"Q3")),"")</f>
        <v/>
      </c>
      <c r="Y27" s="72" t="str">
        <f aca="false">IFERROR(IF((SUMIFS('10. Activity Data Log'!$U$7:$U$46,'10. Activity Data Log'!$C$7:$C$46,$D27,'10. Activity Data Log'!$AD$7:$AD$46,"Q4")+SUMIFS('11. Distribution Log'!$W$7:$W$46,'11. Distribution Log'!$C$7:$C$46,$D27,'11. Distribution Log'!$AI$7:$AI$46,"Q4"))=0,"",SUMIFS('10. Activity Data Log'!$U$7:$U$46,'10. Activity Data Log'!$C$7:$C$46,$D27,'10. Activity Data Log'!$AD$7:$AD$46,"Q4")+SUMIFS('11. Distribution Log'!$W$7:$W$46,'11. Distribution Log'!$C$7:$C$46,$D27,'11. Distribution Log'!$AI$7:$AI$46,"Q4")),"")</f>
        <v/>
      </c>
      <c r="Z27" s="72" t="str">
        <f aca="false">IFERROR(IF((SUMIFS('10. Activity Data Log'!$U$7:$U$46,'10. Activity Data Log'!$C$7:$C$46,$D27,'10. Activity Data Log'!$AD$7:$AD$46,"Q5")+SUMIFS('11. Distribution Log'!$W$7:$W$46,'11. Distribution Log'!$C$7:$C$46,$D27,'11. Distribution Log'!$AI$7:$AI$46,"Q5"))=0,"",SUMIFS('10. Activity Data Log'!$U$7:$U$46,'10. Activity Data Log'!$C$7:$C$46,$D27,'10. Activity Data Log'!$AD$7:$AD$46,"Q5")+SUMIFS('11. Distribution Log'!$W$7:$W$46,'11. Distribution Log'!$C$7:$C$46,$D27,'11. Distribution Log'!$AI$7:$AI$46,"Q5")),"")</f>
        <v/>
      </c>
      <c r="AA27" s="72" t="str">
        <f aca="false">IFERROR(IF((SUMIFS('10. Activity Data Log'!$U$7:$U$46,'10. Activity Data Log'!$C$7:$C$46,$D27,'10. Activity Data Log'!$AD$7:$AD$46,"Q6")+SUMIFS('11. Distribution Log'!$W$7:$W$46,'11. Distribution Log'!$C$7:$C$46,$D27,'11. Distribution Log'!$AI$7:$AI$46,"Q6"))=0,"",SUMIFS('10. Activity Data Log'!$U$7:$U$46,'10. Activity Data Log'!$C$7:$C$46,$D27,'10. Activity Data Log'!$AD$7:$AD$46,"Q6")+SUMIFS('11. Distribution Log'!$W$7:$W$46,'11. Distribution Log'!$C$7:$C$46,$D27,'11. Distribution Log'!$AI$7:$AI$46,"Q6")),"")</f>
        <v/>
      </c>
      <c r="AB27" s="72" t="str">
        <f aca="false">IFERROR(IF((SUMIFS('10. Activity Data Log'!$U$7:$U$46,'10. Activity Data Log'!$C$7:$C$46,$D27,'10. Activity Data Log'!$AD$7:$AD$46,"Q7")+SUMIFS('11. Distribution Log'!$W$7:$W$46,'11. Distribution Log'!$C$7:$C$46,$D27,'11. Distribution Log'!$AI$7:$AI$46,"Q7"))=0,"",SUMIFS('10. Activity Data Log'!$U$7:$U$46,'10. Activity Data Log'!$C$7:$C$46,$D27,'10. Activity Data Log'!$AD$7:$AD$46,"Q7")+SUMIFS('11. Distribution Log'!$W$7:$W$46,'11. Distribution Log'!$C$7:$C$46,$D27,'11. Distribution Log'!$AI$7:$AI$46,"Q7")),"")</f>
        <v/>
      </c>
      <c r="AC27" s="72" t="str">
        <f aca="false">IFERROR(IF((SUMIFS('10. Activity Data Log'!$U$7:$U$46,'10. Activity Data Log'!$C$7:$C$46,$D27,'10. Activity Data Log'!$AD$7:$AD$46,"Q8")+SUMIFS('11. Distribution Log'!$W$7:$W$46,'11. Distribution Log'!$C$7:$C$46,$D27,'11. Distribution Log'!$AI$7:$AI$46,"Q8"))=0,"",SUMIFS('10. Activity Data Log'!$U$7:$U$46,'10. Activity Data Log'!$C$7:$C$46,$D27,'10. Activity Data Log'!$AD$7:$AD$46,"Q8")+SUMIFS('11. Distribution Log'!$W$7:$W$46,'11. Distribution Log'!$C$7:$C$46,$D27,'11. Distribution Log'!$AI$7:$AI$46,"Q8")),"")</f>
        <v/>
      </c>
      <c r="AD27" s="68" t="str">
        <f aca="false">IFERROR(IF(SUMPRODUCT((COLUMN(N27:U27)-COLUMN(N27)+1&lt;='7. IPTT'!$C$3)*N(N27:U27))=0,"",SUMPRODUCT((COLUMN(V27:AC27)-COLUMN(V27)+1&lt;='7. IPTT'!$C$3)*N(V27:AC27))/SUMPRODUCT((COLUMN(N27:U27)-COLUMN(N27)+1&lt;='7. IPTT'!$C$3)*N(N27:U27))),"")</f>
        <v/>
      </c>
      <c r="AE27" s="22" t="str">
        <f aca="false">IFERROR(IF(AD27="","No data yet",IF(AD27&gt;=0.9,"On Track",IF(AD27&gt;=0.7,"Slightly Behind","Behind"))),"")</f>
        <v>No data yet</v>
      </c>
      <c r="AF27" s="16" t="s">
        <v>1198</v>
      </c>
      <c r="AG27" s="16" t="s">
        <v>1198</v>
      </c>
      <c r="AH27" s="73" t="n">
        <v>8727.27</v>
      </c>
      <c r="AI27" s="74" t="n">
        <v>1247999.61</v>
      </c>
      <c r="AJ27" s="16" t="str">
        <f aca="false">IFERROR(IF(COUNTIF('10. Activity Data Log'!$C$7:$C$46,$D27)=0,"No Data Log entries yet",COUNTIF('10. Activity Data Log'!$C$7:$C$46,$D27)&amp;" entries logged, avg "&amp;TEXT(AVERAGEIF('10. Activity Data Log'!$C$7:$C$46,$D27,'10. Activity Data Log'!$AB$7:$AB$46),"0%")&amp;" of target"),"")</f>
        <v>No Data Log entries yet</v>
      </c>
      <c r="AK27" s="16" t="str">
        <f aca="false">IFERROR(IF(OR(J27="",J27="-"),"During [reporting period], FIVDB delivered: "&amp;E27&amp;" (target: "&amp;I27&amp;"). Source: "&amp;AM27&amp;".","During [reporting period], FIVDB delivered: "&amp;E27&amp;" (target: "&amp;I27&amp;"), contributing to indicator '"&amp;IFERROR(INDEX('7. IPTT'!$F$15:$F$37,MATCH(IF(ISNUMBER(FIND(",",J27)),TRIM(LEFT(J27,FIND(",",J27)-1)),TRIM(J27)),'7. IPTT'!$C$15:$C$37,0)),"")&amp;"' ("&amp;J27&amp;"). Source: "&amp;AM27&amp;"."),"During [reporting period], FIVDB delivered: "&amp;E27&amp;".")</f>
        <v>During [reporting period], FIVDB delivered: Deliver the 6-day subject-based (ALP curriculum) training for teaching volunteers. (target: 68 participants, 12 days total), contributing to indicator 'Number of teachers/education personnel showing increased knowledge and teaching skills to address children's learning needs' (R1-I5). Source: FIVDB Detailed Budget, rows 72-74 (Cascade down subject-based training).</v>
      </c>
      <c r="AL27" s="16" t="s">
        <v>1199</v>
      </c>
      <c r="AM27" s="16" t="s">
        <v>1203</v>
      </c>
      <c r="AN27" s="22" t="s">
        <v>197</v>
      </c>
      <c r="AO27" s="16" t="s">
        <v>1204</v>
      </c>
    </row>
    <row r="28" customFormat="false" ht="99" hidden="false" customHeight="true" outlineLevel="0" collapsed="false">
      <c r="B28" s="22" t="s">
        <v>825</v>
      </c>
      <c r="C28" s="22" t="s">
        <v>1193</v>
      </c>
      <c r="D28" s="22" t="s">
        <v>633</v>
      </c>
      <c r="E28" s="16" t="s">
        <v>634</v>
      </c>
      <c r="F28" s="16"/>
      <c r="G28" s="16" t="s">
        <v>1194</v>
      </c>
      <c r="H28" s="16" t="s">
        <v>1103</v>
      </c>
      <c r="I28" s="16" t="s">
        <v>1205</v>
      </c>
      <c r="J28" s="22" t="s">
        <v>875</v>
      </c>
      <c r="K28" s="16" t="s">
        <v>1196</v>
      </c>
      <c r="L28" s="22" t="n">
        <v>68</v>
      </c>
      <c r="M28" s="22" t="s">
        <v>1197</v>
      </c>
      <c r="N28" s="49"/>
      <c r="O28" s="49"/>
      <c r="P28" s="49"/>
      <c r="Q28" s="49"/>
      <c r="R28" s="49"/>
      <c r="S28" s="49"/>
      <c r="T28" s="49"/>
      <c r="U28" s="49"/>
      <c r="V28" s="72" t="str">
        <f aca="false">IFERROR(IF((SUMIFS('10. Activity Data Log'!$U$7:$U$46,'10. Activity Data Log'!$C$7:$C$46,$D28,'10. Activity Data Log'!$AD$7:$AD$46,"Q1")+SUMIFS('11. Distribution Log'!$W$7:$W$46,'11. Distribution Log'!$C$7:$C$46,$D28,'11. Distribution Log'!$AI$7:$AI$46,"Q1"))=0,"",SUMIFS('10. Activity Data Log'!$U$7:$U$46,'10. Activity Data Log'!$C$7:$C$46,$D28,'10. Activity Data Log'!$AD$7:$AD$46,"Q1")+SUMIFS('11. Distribution Log'!$W$7:$W$46,'11. Distribution Log'!$C$7:$C$46,$D28,'11. Distribution Log'!$AI$7:$AI$46,"Q1")),"")</f>
        <v/>
      </c>
      <c r="W28" s="72" t="str">
        <f aca="false">IFERROR(IF((SUMIFS('10. Activity Data Log'!$U$7:$U$46,'10. Activity Data Log'!$C$7:$C$46,$D28,'10. Activity Data Log'!$AD$7:$AD$46,"Q2")+SUMIFS('11. Distribution Log'!$W$7:$W$46,'11. Distribution Log'!$C$7:$C$46,$D28,'11. Distribution Log'!$AI$7:$AI$46,"Q2"))=0,"",SUMIFS('10. Activity Data Log'!$U$7:$U$46,'10. Activity Data Log'!$C$7:$C$46,$D28,'10. Activity Data Log'!$AD$7:$AD$46,"Q2")+SUMIFS('11. Distribution Log'!$W$7:$W$46,'11. Distribution Log'!$C$7:$C$46,$D28,'11. Distribution Log'!$AI$7:$AI$46,"Q2")),"")</f>
        <v/>
      </c>
      <c r="X28" s="72" t="str">
        <f aca="false">IFERROR(IF((SUMIFS('10. Activity Data Log'!$U$7:$U$46,'10. Activity Data Log'!$C$7:$C$46,$D28,'10. Activity Data Log'!$AD$7:$AD$46,"Q3")+SUMIFS('11. Distribution Log'!$W$7:$W$46,'11. Distribution Log'!$C$7:$C$46,$D28,'11. Distribution Log'!$AI$7:$AI$46,"Q3"))=0,"",SUMIFS('10. Activity Data Log'!$U$7:$U$46,'10. Activity Data Log'!$C$7:$C$46,$D28,'10. Activity Data Log'!$AD$7:$AD$46,"Q3")+SUMIFS('11. Distribution Log'!$W$7:$W$46,'11. Distribution Log'!$C$7:$C$46,$D28,'11. Distribution Log'!$AI$7:$AI$46,"Q3")),"")</f>
        <v/>
      </c>
      <c r="Y28" s="72" t="str">
        <f aca="false">IFERROR(IF((SUMIFS('10. Activity Data Log'!$U$7:$U$46,'10. Activity Data Log'!$C$7:$C$46,$D28,'10. Activity Data Log'!$AD$7:$AD$46,"Q4")+SUMIFS('11. Distribution Log'!$W$7:$W$46,'11. Distribution Log'!$C$7:$C$46,$D28,'11. Distribution Log'!$AI$7:$AI$46,"Q4"))=0,"",SUMIFS('10. Activity Data Log'!$U$7:$U$46,'10. Activity Data Log'!$C$7:$C$46,$D28,'10. Activity Data Log'!$AD$7:$AD$46,"Q4")+SUMIFS('11. Distribution Log'!$W$7:$W$46,'11. Distribution Log'!$C$7:$C$46,$D28,'11. Distribution Log'!$AI$7:$AI$46,"Q4")),"")</f>
        <v/>
      </c>
      <c r="Z28" s="72" t="str">
        <f aca="false">IFERROR(IF((SUMIFS('10. Activity Data Log'!$U$7:$U$46,'10. Activity Data Log'!$C$7:$C$46,$D28,'10. Activity Data Log'!$AD$7:$AD$46,"Q5")+SUMIFS('11. Distribution Log'!$W$7:$W$46,'11. Distribution Log'!$C$7:$C$46,$D28,'11. Distribution Log'!$AI$7:$AI$46,"Q5"))=0,"",SUMIFS('10. Activity Data Log'!$U$7:$U$46,'10. Activity Data Log'!$C$7:$C$46,$D28,'10. Activity Data Log'!$AD$7:$AD$46,"Q5")+SUMIFS('11. Distribution Log'!$W$7:$W$46,'11. Distribution Log'!$C$7:$C$46,$D28,'11. Distribution Log'!$AI$7:$AI$46,"Q5")),"")</f>
        <v/>
      </c>
      <c r="AA28" s="72" t="str">
        <f aca="false">IFERROR(IF((SUMIFS('10. Activity Data Log'!$U$7:$U$46,'10. Activity Data Log'!$C$7:$C$46,$D28,'10. Activity Data Log'!$AD$7:$AD$46,"Q6")+SUMIFS('11. Distribution Log'!$W$7:$W$46,'11. Distribution Log'!$C$7:$C$46,$D28,'11. Distribution Log'!$AI$7:$AI$46,"Q6"))=0,"",SUMIFS('10. Activity Data Log'!$U$7:$U$46,'10. Activity Data Log'!$C$7:$C$46,$D28,'10. Activity Data Log'!$AD$7:$AD$46,"Q6")+SUMIFS('11. Distribution Log'!$W$7:$W$46,'11. Distribution Log'!$C$7:$C$46,$D28,'11. Distribution Log'!$AI$7:$AI$46,"Q6")),"")</f>
        <v/>
      </c>
      <c r="AB28" s="72" t="str">
        <f aca="false">IFERROR(IF((SUMIFS('10. Activity Data Log'!$U$7:$U$46,'10. Activity Data Log'!$C$7:$C$46,$D28,'10. Activity Data Log'!$AD$7:$AD$46,"Q7")+SUMIFS('11. Distribution Log'!$W$7:$W$46,'11. Distribution Log'!$C$7:$C$46,$D28,'11. Distribution Log'!$AI$7:$AI$46,"Q7"))=0,"",SUMIFS('10. Activity Data Log'!$U$7:$U$46,'10. Activity Data Log'!$C$7:$C$46,$D28,'10. Activity Data Log'!$AD$7:$AD$46,"Q7")+SUMIFS('11. Distribution Log'!$W$7:$W$46,'11. Distribution Log'!$C$7:$C$46,$D28,'11. Distribution Log'!$AI$7:$AI$46,"Q7")),"")</f>
        <v/>
      </c>
      <c r="AC28" s="72" t="str">
        <f aca="false">IFERROR(IF((SUMIFS('10. Activity Data Log'!$U$7:$U$46,'10. Activity Data Log'!$C$7:$C$46,$D28,'10. Activity Data Log'!$AD$7:$AD$46,"Q8")+SUMIFS('11. Distribution Log'!$W$7:$W$46,'11. Distribution Log'!$C$7:$C$46,$D28,'11. Distribution Log'!$AI$7:$AI$46,"Q8"))=0,"",SUMIFS('10. Activity Data Log'!$U$7:$U$46,'10. Activity Data Log'!$C$7:$C$46,$D28,'10. Activity Data Log'!$AD$7:$AD$46,"Q8")+SUMIFS('11. Distribution Log'!$W$7:$W$46,'11. Distribution Log'!$C$7:$C$46,$D28,'11. Distribution Log'!$AI$7:$AI$46,"Q8")),"")</f>
        <v/>
      </c>
      <c r="AD28" s="68" t="str">
        <f aca="false">IFERROR(IF(SUMPRODUCT((COLUMN(N28:U28)-COLUMN(N28)+1&lt;='7. IPTT'!$C$3)*N(N28:U28))=0,"",SUMPRODUCT((COLUMN(V28:AC28)-COLUMN(V28)+1&lt;='7. IPTT'!$C$3)*N(V28:AC28))/SUMPRODUCT((COLUMN(N28:U28)-COLUMN(N28)+1&lt;='7. IPTT'!$C$3)*N(N28:U28))),"")</f>
        <v/>
      </c>
      <c r="AE28" s="22" t="str">
        <f aca="false">IFERROR(IF(AD28="","No data yet",IF(AD28&gt;=0.9,"On Track",IF(AD28&gt;=0.7,"Slightly Behind","Behind"))),"")</f>
        <v>No data yet</v>
      </c>
      <c r="AF28" s="16" t="s">
        <v>1198</v>
      </c>
      <c r="AG28" s="16" t="s">
        <v>1198</v>
      </c>
      <c r="AH28" s="73" t="n">
        <v>8727.27</v>
      </c>
      <c r="AI28" s="74" t="n">
        <v>1247999.61</v>
      </c>
      <c r="AJ28" s="16" t="str">
        <f aca="false">IFERROR(IF(COUNTIF('10. Activity Data Log'!$C$7:$C$46,$D28)=0,"No Data Log entries yet",COUNTIF('10. Activity Data Log'!$C$7:$C$46,$D28)&amp;" entries logged, avg "&amp;TEXT(AVERAGEIF('10. Activity Data Log'!$C$7:$C$46,$D28,'10. Activity Data Log'!$AB$7:$AB$46),"0%")&amp;" of target"),"")</f>
        <v>No Data Log entries yet</v>
      </c>
      <c r="AK28" s="16" t="str">
        <f aca="false">IFERROR(IF(OR(J28="",J28="-"),"During [reporting period], FIVDB delivered: "&amp;E28&amp;" (target: "&amp;I28&amp;"). Source: "&amp;AM28&amp;".","During [reporting period], FIVDB delivered: "&amp;E28&amp;" (target: "&amp;I28&amp;"), contributing to indicator '"&amp;IFERROR(INDEX('7. IPTT'!$F$15:$F$37,MATCH(IF(ISNUMBER(FIND(",",J28)),TRIM(LEFT(J28,FIND(",",J28)-1)),TRIM(J28)),'7. IPTT'!$C$15:$C$37,0)),"")&amp;"' ("&amp;J28&amp;"). Source: "&amp;AM28&amp;"."),"During [reporting period], FIVDB delivered: "&amp;E28&amp;".")</f>
        <v>During [reporting period], FIVDB delivered: Deliver quarterly refresher training for project personnel and teaching volunteers within the CBLF. (target: 68 participants, 7 days/year), contributing to indicator 'Number of teachers/education personnel showing increased knowledge and teaching skills to address children's learning needs' (R1-I5). Source: FIVDB Detailed Budget, rows 75-77 (Quarterly refresher training).</v>
      </c>
      <c r="AL28" s="16" t="s">
        <v>1199</v>
      </c>
      <c r="AM28" s="16" t="s">
        <v>1206</v>
      </c>
      <c r="AN28" s="22" t="s">
        <v>197</v>
      </c>
      <c r="AO28" s="16" t="s">
        <v>1207</v>
      </c>
    </row>
    <row r="29" customFormat="false" ht="99" hidden="false" customHeight="true" outlineLevel="0" collapsed="false">
      <c r="B29" s="22" t="s">
        <v>825</v>
      </c>
      <c r="C29" s="22" t="s">
        <v>1193</v>
      </c>
      <c r="D29" s="22" t="s">
        <v>635</v>
      </c>
      <c r="E29" s="16" t="s">
        <v>636</v>
      </c>
      <c r="F29" s="16"/>
      <c r="G29" s="16" t="s">
        <v>1194</v>
      </c>
      <c r="H29" s="16" t="s">
        <v>1103</v>
      </c>
      <c r="I29" s="16" t="s">
        <v>1208</v>
      </c>
      <c r="J29" s="22" t="s">
        <v>900</v>
      </c>
      <c r="K29" s="16" t="s">
        <v>1209</v>
      </c>
      <c r="L29" s="22" t="n">
        <v>68</v>
      </c>
      <c r="M29" s="22" t="s">
        <v>1197</v>
      </c>
      <c r="N29" s="49"/>
      <c r="O29" s="49"/>
      <c r="P29" s="49"/>
      <c r="Q29" s="49"/>
      <c r="R29" s="49"/>
      <c r="S29" s="49"/>
      <c r="T29" s="49"/>
      <c r="U29" s="49"/>
      <c r="V29" s="72" t="str">
        <f aca="false">IFERROR(IF((SUMIFS('10. Activity Data Log'!$U$7:$U$46,'10. Activity Data Log'!$C$7:$C$46,$D29,'10. Activity Data Log'!$AD$7:$AD$46,"Q1")+SUMIFS('11. Distribution Log'!$W$7:$W$46,'11. Distribution Log'!$C$7:$C$46,$D29,'11. Distribution Log'!$AI$7:$AI$46,"Q1"))=0,"",SUMIFS('10. Activity Data Log'!$U$7:$U$46,'10. Activity Data Log'!$C$7:$C$46,$D29,'10. Activity Data Log'!$AD$7:$AD$46,"Q1")+SUMIFS('11. Distribution Log'!$W$7:$W$46,'11. Distribution Log'!$C$7:$C$46,$D29,'11. Distribution Log'!$AI$7:$AI$46,"Q1")),"")</f>
        <v/>
      </c>
      <c r="W29" s="72" t="str">
        <f aca="false">IFERROR(IF((SUMIFS('10. Activity Data Log'!$U$7:$U$46,'10. Activity Data Log'!$C$7:$C$46,$D29,'10. Activity Data Log'!$AD$7:$AD$46,"Q2")+SUMIFS('11. Distribution Log'!$W$7:$W$46,'11. Distribution Log'!$C$7:$C$46,$D29,'11. Distribution Log'!$AI$7:$AI$46,"Q2"))=0,"",SUMIFS('10. Activity Data Log'!$U$7:$U$46,'10. Activity Data Log'!$C$7:$C$46,$D29,'10. Activity Data Log'!$AD$7:$AD$46,"Q2")+SUMIFS('11. Distribution Log'!$W$7:$W$46,'11. Distribution Log'!$C$7:$C$46,$D29,'11. Distribution Log'!$AI$7:$AI$46,"Q2")),"")</f>
        <v/>
      </c>
      <c r="X29" s="72" t="str">
        <f aca="false">IFERROR(IF((SUMIFS('10. Activity Data Log'!$U$7:$U$46,'10. Activity Data Log'!$C$7:$C$46,$D29,'10. Activity Data Log'!$AD$7:$AD$46,"Q3")+SUMIFS('11. Distribution Log'!$W$7:$W$46,'11. Distribution Log'!$C$7:$C$46,$D29,'11. Distribution Log'!$AI$7:$AI$46,"Q3"))=0,"",SUMIFS('10. Activity Data Log'!$U$7:$U$46,'10. Activity Data Log'!$C$7:$C$46,$D29,'10. Activity Data Log'!$AD$7:$AD$46,"Q3")+SUMIFS('11. Distribution Log'!$W$7:$W$46,'11. Distribution Log'!$C$7:$C$46,$D29,'11. Distribution Log'!$AI$7:$AI$46,"Q3")),"")</f>
        <v/>
      </c>
      <c r="Y29" s="72" t="str">
        <f aca="false">IFERROR(IF((SUMIFS('10. Activity Data Log'!$U$7:$U$46,'10. Activity Data Log'!$C$7:$C$46,$D29,'10. Activity Data Log'!$AD$7:$AD$46,"Q4")+SUMIFS('11. Distribution Log'!$W$7:$W$46,'11. Distribution Log'!$C$7:$C$46,$D29,'11. Distribution Log'!$AI$7:$AI$46,"Q4"))=0,"",SUMIFS('10. Activity Data Log'!$U$7:$U$46,'10. Activity Data Log'!$C$7:$C$46,$D29,'10. Activity Data Log'!$AD$7:$AD$46,"Q4")+SUMIFS('11. Distribution Log'!$W$7:$W$46,'11. Distribution Log'!$C$7:$C$46,$D29,'11. Distribution Log'!$AI$7:$AI$46,"Q4")),"")</f>
        <v/>
      </c>
      <c r="Z29" s="72" t="str">
        <f aca="false">IFERROR(IF((SUMIFS('10. Activity Data Log'!$U$7:$U$46,'10. Activity Data Log'!$C$7:$C$46,$D29,'10. Activity Data Log'!$AD$7:$AD$46,"Q5")+SUMIFS('11. Distribution Log'!$W$7:$W$46,'11. Distribution Log'!$C$7:$C$46,$D29,'11. Distribution Log'!$AI$7:$AI$46,"Q5"))=0,"",SUMIFS('10. Activity Data Log'!$U$7:$U$46,'10. Activity Data Log'!$C$7:$C$46,$D29,'10. Activity Data Log'!$AD$7:$AD$46,"Q5")+SUMIFS('11. Distribution Log'!$W$7:$W$46,'11. Distribution Log'!$C$7:$C$46,$D29,'11. Distribution Log'!$AI$7:$AI$46,"Q5")),"")</f>
        <v/>
      </c>
      <c r="AA29" s="72" t="str">
        <f aca="false">IFERROR(IF((SUMIFS('10. Activity Data Log'!$U$7:$U$46,'10. Activity Data Log'!$C$7:$C$46,$D29,'10. Activity Data Log'!$AD$7:$AD$46,"Q6")+SUMIFS('11. Distribution Log'!$W$7:$W$46,'11. Distribution Log'!$C$7:$C$46,$D29,'11. Distribution Log'!$AI$7:$AI$46,"Q6"))=0,"",SUMIFS('10. Activity Data Log'!$U$7:$U$46,'10. Activity Data Log'!$C$7:$C$46,$D29,'10. Activity Data Log'!$AD$7:$AD$46,"Q6")+SUMIFS('11. Distribution Log'!$W$7:$W$46,'11. Distribution Log'!$C$7:$C$46,$D29,'11. Distribution Log'!$AI$7:$AI$46,"Q6")),"")</f>
        <v/>
      </c>
      <c r="AB29" s="72" t="str">
        <f aca="false">IFERROR(IF((SUMIFS('10. Activity Data Log'!$U$7:$U$46,'10. Activity Data Log'!$C$7:$C$46,$D29,'10. Activity Data Log'!$AD$7:$AD$46,"Q7")+SUMIFS('11. Distribution Log'!$W$7:$W$46,'11. Distribution Log'!$C$7:$C$46,$D29,'11. Distribution Log'!$AI$7:$AI$46,"Q7"))=0,"",SUMIFS('10. Activity Data Log'!$U$7:$U$46,'10. Activity Data Log'!$C$7:$C$46,$D29,'10. Activity Data Log'!$AD$7:$AD$46,"Q7")+SUMIFS('11. Distribution Log'!$W$7:$W$46,'11. Distribution Log'!$C$7:$C$46,$D29,'11. Distribution Log'!$AI$7:$AI$46,"Q7")),"")</f>
        <v/>
      </c>
      <c r="AC29" s="72" t="str">
        <f aca="false">IFERROR(IF((SUMIFS('10. Activity Data Log'!$U$7:$U$46,'10. Activity Data Log'!$C$7:$C$46,$D29,'10. Activity Data Log'!$AD$7:$AD$46,"Q8")+SUMIFS('11. Distribution Log'!$W$7:$W$46,'11. Distribution Log'!$C$7:$C$46,$D29,'11. Distribution Log'!$AI$7:$AI$46,"Q8"))=0,"",SUMIFS('10. Activity Data Log'!$U$7:$U$46,'10. Activity Data Log'!$C$7:$C$46,$D29,'10. Activity Data Log'!$AD$7:$AD$46,"Q8")+SUMIFS('11. Distribution Log'!$W$7:$W$46,'11. Distribution Log'!$C$7:$C$46,$D29,'11. Distribution Log'!$AI$7:$AI$46,"Q8")),"")</f>
        <v/>
      </c>
      <c r="AD29" s="68" t="str">
        <f aca="false">IFERROR(IF(SUMPRODUCT((COLUMN(N29:U29)-COLUMN(N29)+1&lt;='7. IPTT'!$C$3)*N(N29:U29))=0,"",SUMPRODUCT((COLUMN(V29:AC29)-COLUMN(V29)+1&lt;='7. IPTT'!$C$3)*N(V29:AC29))/SUMPRODUCT((COLUMN(N29:U29)-COLUMN(N29)+1&lt;='7. IPTT'!$C$3)*N(N29:U29))),"")</f>
        <v/>
      </c>
      <c r="AE29" s="22" t="str">
        <f aca="false">IFERROR(IF(AD29="","No data yet",IF(AD29&gt;=0.9,"On Track",IF(AD29&gt;=0.7,"Slightly Behind","Behind"))),"")</f>
        <v>No data yet</v>
      </c>
      <c r="AF29" s="16" t="s">
        <v>1198</v>
      </c>
      <c r="AG29" s="16" t="s">
        <v>1198</v>
      </c>
      <c r="AH29" s="73" t="n">
        <v>8727.27</v>
      </c>
      <c r="AI29" s="74" t="n">
        <v>1247999.61</v>
      </c>
      <c r="AJ29" s="16" t="str">
        <f aca="false">IFERROR(IF(COUNTIF('10. Activity Data Log'!$C$7:$C$46,$D29)=0,"No Data Log entries yet",COUNTIF('10. Activity Data Log'!$C$7:$C$46,$D29)&amp;" entries logged, avg "&amp;TEXT(AVERAGEIF('10. Activity Data Log'!$C$7:$C$46,$D29,'10. Activity Data Log'!$AB$7:$AB$46),"0%")&amp;" of target"),"")</f>
        <v>No Data Log entries yet</v>
      </c>
      <c r="AK29" s="16" t="str">
        <f aca="false">IFERROR(IF(OR(J29="",J29="-"),"During [reporting period], FIVDB delivered: "&amp;E29&amp;" (target: "&amp;I29&amp;"). Source: "&amp;AM29&amp;".","During [reporting period], FIVDB delivered: "&amp;E29&amp;" (target: "&amp;I29&amp;"), contributing to indicator '"&amp;IFERROR(INDEX('7. IPTT'!$F$15:$F$37,MATCH(IF(ISNUMBER(FIND(",",J29)),TRIM(LEFT(J29,FIND(",",J29)-1)),TRIM(J29)),'7. IPTT'!$C$15:$C$37,0)),"")&amp;"' ("&amp;J29&amp;"). Source: "&amp;AM29&amp;"."),"During [reporting period], FIVDB delivered: "&amp;E29&amp;".")</f>
        <v>During [reporting period], FIVDB delivered: Deliver cascading training for teachers on PSS, gender, SRHR, CAAFAG and referral mechanisms. (target: 68 participants, 4 days), contributing to indicator 'Number of teachers and other education personnel showing increased knowledge and skills to address the protection needs of girls and boys' (R1-I7). Source: FIVDB Detailed Budget, rows 78-80 (Cascading training PSS/gender/SRHR/CAAFAG/referral).</v>
      </c>
      <c r="AL29" s="16" t="s">
        <v>1199</v>
      </c>
      <c r="AM29" s="16" t="s">
        <v>1210</v>
      </c>
      <c r="AN29" s="22" t="s">
        <v>197</v>
      </c>
      <c r="AO29" s="16" t="s">
        <v>1211</v>
      </c>
    </row>
    <row r="30" customFormat="false" ht="99" hidden="false" customHeight="true" outlineLevel="0" collapsed="false">
      <c r="B30" s="22" t="s">
        <v>825</v>
      </c>
      <c r="C30" s="22" t="s">
        <v>1193</v>
      </c>
      <c r="D30" s="22" t="s">
        <v>637</v>
      </c>
      <c r="E30" s="16" t="s">
        <v>638</v>
      </c>
      <c r="F30" s="16"/>
      <c r="G30" s="16" t="s">
        <v>1194</v>
      </c>
      <c r="H30" s="16" t="s">
        <v>1103</v>
      </c>
      <c r="I30" s="16" t="s">
        <v>1212</v>
      </c>
      <c r="J30" s="22" t="s">
        <v>900</v>
      </c>
      <c r="K30" s="16" t="s">
        <v>1209</v>
      </c>
      <c r="L30" s="22" t="n">
        <v>68</v>
      </c>
      <c r="M30" s="22" t="s">
        <v>1197</v>
      </c>
      <c r="N30" s="49"/>
      <c r="O30" s="49"/>
      <c r="P30" s="49"/>
      <c r="Q30" s="49"/>
      <c r="R30" s="49"/>
      <c r="S30" s="49"/>
      <c r="T30" s="49"/>
      <c r="U30" s="49"/>
      <c r="V30" s="72" t="str">
        <f aca="false">IFERROR(IF((SUMIFS('10. Activity Data Log'!$U$7:$U$46,'10. Activity Data Log'!$C$7:$C$46,$D30,'10. Activity Data Log'!$AD$7:$AD$46,"Q1")+SUMIFS('11. Distribution Log'!$W$7:$W$46,'11. Distribution Log'!$C$7:$C$46,$D30,'11. Distribution Log'!$AI$7:$AI$46,"Q1"))=0,"",SUMIFS('10. Activity Data Log'!$U$7:$U$46,'10. Activity Data Log'!$C$7:$C$46,$D30,'10. Activity Data Log'!$AD$7:$AD$46,"Q1")+SUMIFS('11. Distribution Log'!$W$7:$W$46,'11. Distribution Log'!$C$7:$C$46,$D30,'11. Distribution Log'!$AI$7:$AI$46,"Q1")),"")</f>
        <v/>
      </c>
      <c r="W30" s="72" t="str">
        <f aca="false">IFERROR(IF((SUMIFS('10. Activity Data Log'!$U$7:$U$46,'10. Activity Data Log'!$C$7:$C$46,$D30,'10. Activity Data Log'!$AD$7:$AD$46,"Q2")+SUMIFS('11. Distribution Log'!$W$7:$W$46,'11. Distribution Log'!$C$7:$C$46,$D30,'11. Distribution Log'!$AI$7:$AI$46,"Q2"))=0,"",SUMIFS('10. Activity Data Log'!$U$7:$U$46,'10. Activity Data Log'!$C$7:$C$46,$D30,'10. Activity Data Log'!$AD$7:$AD$46,"Q2")+SUMIFS('11. Distribution Log'!$W$7:$W$46,'11. Distribution Log'!$C$7:$C$46,$D30,'11. Distribution Log'!$AI$7:$AI$46,"Q2")),"")</f>
        <v/>
      </c>
      <c r="X30" s="72" t="str">
        <f aca="false">IFERROR(IF((SUMIFS('10. Activity Data Log'!$U$7:$U$46,'10. Activity Data Log'!$C$7:$C$46,$D30,'10. Activity Data Log'!$AD$7:$AD$46,"Q3")+SUMIFS('11. Distribution Log'!$W$7:$W$46,'11. Distribution Log'!$C$7:$C$46,$D30,'11. Distribution Log'!$AI$7:$AI$46,"Q3"))=0,"",SUMIFS('10. Activity Data Log'!$U$7:$U$46,'10. Activity Data Log'!$C$7:$C$46,$D30,'10. Activity Data Log'!$AD$7:$AD$46,"Q3")+SUMIFS('11. Distribution Log'!$W$7:$W$46,'11. Distribution Log'!$C$7:$C$46,$D30,'11. Distribution Log'!$AI$7:$AI$46,"Q3")),"")</f>
        <v/>
      </c>
      <c r="Y30" s="72" t="str">
        <f aca="false">IFERROR(IF((SUMIFS('10. Activity Data Log'!$U$7:$U$46,'10. Activity Data Log'!$C$7:$C$46,$D30,'10. Activity Data Log'!$AD$7:$AD$46,"Q4")+SUMIFS('11. Distribution Log'!$W$7:$W$46,'11. Distribution Log'!$C$7:$C$46,$D30,'11. Distribution Log'!$AI$7:$AI$46,"Q4"))=0,"",SUMIFS('10. Activity Data Log'!$U$7:$U$46,'10. Activity Data Log'!$C$7:$C$46,$D30,'10. Activity Data Log'!$AD$7:$AD$46,"Q4")+SUMIFS('11. Distribution Log'!$W$7:$W$46,'11. Distribution Log'!$C$7:$C$46,$D30,'11. Distribution Log'!$AI$7:$AI$46,"Q4")),"")</f>
        <v/>
      </c>
      <c r="Z30" s="72" t="str">
        <f aca="false">IFERROR(IF((SUMIFS('10. Activity Data Log'!$U$7:$U$46,'10. Activity Data Log'!$C$7:$C$46,$D30,'10. Activity Data Log'!$AD$7:$AD$46,"Q5")+SUMIFS('11. Distribution Log'!$W$7:$W$46,'11. Distribution Log'!$C$7:$C$46,$D30,'11. Distribution Log'!$AI$7:$AI$46,"Q5"))=0,"",SUMIFS('10. Activity Data Log'!$U$7:$U$46,'10. Activity Data Log'!$C$7:$C$46,$D30,'10. Activity Data Log'!$AD$7:$AD$46,"Q5")+SUMIFS('11. Distribution Log'!$W$7:$W$46,'11. Distribution Log'!$C$7:$C$46,$D30,'11. Distribution Log'!$AI$7:$AI$46,"Q5")),"")</f>
        <v/>
      </c>
      <c r="AA30" s="72" t="str">
        <f aca="false">IFERROR(IF((SUMIFS('10. Activity Data Log'!$U$7:$U$46,'10. Activity Data Log'!$C$7:$C$46,$D30,'10. Activity Data Log'!$AD$7:$AD$46,"Q6")+SUMIFS('11. Distribution Log'!$W$7:$W$46,'11. Distribution Log'!$C$7:$C$46,$D30,'11. Distribution Log'!$AI$7:$AI$46,"Q6"))=0,"",SUMIFS('10. Activity Data Log'!$U$7:$U$46,'10. Activity Data Log'!$C$7:$C$46,$D30,'10. Activity Data Log'!$AD$7:$AD$46,"Q6")+SUMIFS('11. Distribution Log'!$W$7:$W$46,'11. Distribution Log'!$C$7:$C$46,$D30,'11. Distribution Log'!$AI$7:$AI$46,"Q6")),"")</f>
        <v/>
      </c>
      <c r="AB30" s="72" t="str">
        <f aca="false">IFERROR(IF((SUMIFS('10. Activity Data Log'!$U$7:$U$46,'10. Activity Data Log'!$C$7:$C$46,$D30,'10. Activity Data Log'!$AD$7:$AD$46,"Q7")+SUMIFS('11. Distribution Log'!$W$7:$W$46,'11. Distribution Log'!$C$7:$C$46,$D30,'11. Distribution Log'!$AI$7:$AI$46,"Q7"))=0,"",SUMIFS('10. Activity Data Log'!$U$7:$U$46,'10. Activity Data Log'!$C$7:$C$46,$D30,'10. Activity Data Log'!$AD$7:$AD$46,"Q7")+SUMIFS('11. Distribution Log'!$W$7:$W$46,'11. Distribution Log'!$C$7:$C$46,$D30,'11. Distribution Log'!$AI$7:$AI$46,"Q7")),"")</f>
        <v/>
      </c>
      <c r="AC30" s="72" t="str">
        <f aca="false">IFERROR(IF((SUMIFS('10. Activity Data Log'!$U$7:$U$46,'10. Activity Data Log'!$C$7:$C$46,$D30,'10. Activity Data Log'!$AD$7:$AD$46,"Q8")+SUMIFS('11. Distribution Log'!$W$7:$W$46,'11. Distribution Log'!$C$7:$C$46,$D30,'11. Distribution Log'!$AI$7:$AI$46,"Q8"))=0,"",SUMIFS('10. Activity Data Log'!$U$7:$U$46,'10. Activity Data Log'!$C$7:$C$46,$D30,'10. Activity Data Log'!$AD$7:$AD$46,"Q8")+SUMIFS('11. Distribution Log'!$W$7:$W$46,'11. Distribution Log'!$C$7:$C$46,$D30,'11. Distribution Log'!$AI$7:$AI$46,"Q8")),"")</f>
        <v/>
      </c>
      <c r="AD30" s="68" t="str">
        <f aca="false">IFERROR(IF(SUMPRODUCT((COLUMN(N30:U30)-COLUMN(N30)+1&lt;='7. IPTT'!$C$3)*N(N30:U30))=0,"",SUMPRODUCT((COLUMN(V30:AC30)-COLUMN(V30)+1&lt;='7. IPTT'!$C$3)*N(V30:AC30))/SUMPRODUCT((COLUMN(N30:U30)-COLUMN(N30)+1&lt;='7. IPTT'!$C$3)*N(N30:U30))),"")</f>
        <v/>
      </c>
      <c r="AE30" s="22" t="str">
        <f aca="false">IFERROR(IF(AD30="","No data yet",IF(AD30&gt;=0.9,"On Track",IF(AD30&gt;=0.7,"Slightly Behind","Behind"))),"")</f>
        <v>No data yet</v>
      </c>
      <c r="AF30" s="16" t="s">
        <v>1198</v>
      </c>
      <c r="AG30" s="16" t="s">
        <v>1198</v>
      </c>
      <c r="AH30" s="73" t="n">
        <v>8727.27</v>
      </c>
      <c r="AI30" s="74" t="n">
        <v>1247999.61</v>
      </c>
      <c r="AJ30" s="16" t="str">
        <f aca="false">IFERROR(IF(COUNTIF('10. Activity Data Log'!$C$7:$C$46,$D30)=0,"No Data Log entries yet",COUNTIF('10. Activity Data Log'!$C$7:$C$46,$D30)&amp;" entries logged, avg "&amp;TEXT(AVERAGEIF('10. Activity Data Log'!$C$7:$C$46,$D30,'10. Activity Data Log'!$AB$7:$AB$46),"0%")&amp;" of target"),"")</f>
        <v>No Data Log entries yet</v>
      </c>
      <c r="AK30" s="16" t="str">
        <f aca="false">IFERROR(IF(OR(J30="",J30="-"),"During [reporting period], FIVDB delivered: "&amp;E30&amp;" (target: "&amp;I30&amp;"). Source: "&amp;AM30&amp;".","During [reporting period], FIVDB delivered: "&amp;E30&amp;" (target: "&amp;I30&amp;"), contributing to indicator '"&amp;IFERROR(INDEX('7. IPTT'!$F$15:$F$37,MATCH(IF(ISNUMBER(FIND(",",J30)),TRIM(LEFT(J30,FIND(",",J30)-1)),TRIM(J30)),'7. IPTT'!$C$15:$C$37,0)),"")&amp;"' ("&amp;J30&amp;"). Source: "&amp;AM30&amp;"."),"During [reporting period], FIVDB delivered: "&amp;E30&amp;".")</f>
        <v>During [reporting period], FIVDB delivered: Deliver the 2-day cascade training on Protective Education Services for teaching volunteers. (target: 68 participants, 2 days), contributing to indicator 'Number of teachers and other education personnel showing increased knowledge and skills to address the protection needs of girls and boys' (R1-I7). Source: FIVDB Detailed Budget, rows 81-83 (Cascade training Protective Education Services).</v>
      </c>
      <c r="AL30" s="16" t="s">
        <v>1199</v>
      </c>
      <c r="AM30" s="16" t="s">
        <v>1213</v>
      </c>
      <c r="AN30" s="22" t="s">
        <v>197</v>
      </c>
      <c r="AO30" s="16" t="s">
        <v>1214</v>
      </c>
    </row>
    <row r="31" customFormat="false" ht="99" hidden="false" customHeight="true" outlineLevel="0" collapsed="false">
      <c r="B31" s="22" t="s">
        <v>825</v>
      </c>
      <c r="C31" s="22" t="s">
        <v>1193</v>
      </c>
      <c r="D31" s="22" t="s">
        <v>639</v>
      </c>
      <c r="E31" s="16" t="s">
        <v>640</v>
      </c>
      <c r="F31" s="16"/>
      <c r="G31" s="16" t="s">
        <v>1194</v>
      </c>
      <c r="H31" s="16" t="s">
        <v>1103</v>
      </c>
      <c r="I31" s="16" t="s">
        <v>1215</v>
      </c>
      <c r="J31" s="22" t="s">
        <v>1216</v>
      </c>
      <c r="K31" s="16" t="s">
        <v>1217</v>
      </c>
      <c r="L31" s="22" t="n">
        <v>15</v>
      </c>
      <c r="M31" s="22" t="s">
        <v>1197</v>
      </c>
      <c r="N31" s="49"/>
      <c r="O31" s="49"/>
      <c r="P31" s="49"/>
      <c r="Q31" s="49"/>
      <c r="R31" s="49"/>
      <c r="S31" s="49"/>
      <c r="T31" s="49"/>
      <c r="U31" s="49"/>
      <c r="V31" s="72" t="str">
        <f aca="false">IFERROR(IF((SUMIFS('10. Activity Data Log'!$U$7:$U$46,'10. Activity Data Log'!$C$7:$C$46,$D31,'10. Activity Data Log'!$AD$7:$AD$46,"Q1")+SUMIFS('11. Distribution Log'!$W$7:$W$46,'11. Distribution Log'!$C$7:$C$46,$D31,'11. Distribution Log'!$AI$7:$AI$46,"Q1"))=0,"",SUMIFS('10. Activity Data Log'!$U$7:$U$46,'10. Activity Data Log'!$C$7:$C$46,$D31,'10. Activity Data Log'!$AD$7:$AD$46,"Q1")+SUMIFS('11. Distribution Log'!$W$7:$W$46,'11. Distribution Log'!$C$7:$C$46,$D31,'11. Distribution Log'!$AI$7:$AI$46,"Q1")),"")</f>
        <v/>
      </c>
      <c r="W31" s="72" t="str">
        <f aca="false">IFERROR(IF((SUMIFS('10. Activity Data Log'!$U$7:$U$46,'10. Activity Data Log'!$C$7:$C$46,$D31,'10. Activity Data Log'!$AD$7:$AD$46,"Q2")+SUMIFS('11. Distribution Log'!$W$7:$W$46,'11. Distribution Log'!$C$7:$C$46,$D31,'11. Distribution Log'!$AI$7:$AI$46,"Q2"))=0,"",SUMIFS('10. Activity Data Log'!$U$7:$U$46,'10. Activity Data Log'!$C$7:$C$46,$D31,'10. Activity Data Log'!$AD$7:$AD$46,"Q2")+SUMIFS('11. Distribution Log'!$W$7:$W$46,'11. Distribution Log'!$C$7:$C$46,$D31,'11. Distribution Log'!$AI$7:$AI$46,"Q2")),"")</f>
        <v/>
      </c>
      <c r="X31" s="72" t="str">
        <f aca="false">IFERROR(IF((SUMIFS('10. Activity Data Log'!$U$7:$U$46,'10. Activity Data Log'!$C$7:$C$46,$D31,'10. Activity Data Log'!$AD$7:$AD$46,"Q3")+SUMIFS('11. Distribution Log'!$W$7:$W$46,'11. Distribution Log'!$C$7:$C$46,$D31,'11. Distribution Log'!$AI$7:$AI$46,"Q3"))=0,"",SUMIFS('10. Activity Data Log'!$U$7:$U$46,'10. Activity Data Log'!$C$7:$C$46,$D31,'10. Activity Data Log'!$AD$7:$AD$46,"Q3")+SUMIFS('11. Distribution Log'!$W$7:$W$46,'11. Distribution Log'!$C$7:$C$46,$D31,'11. Distribution Log'!$AI$7:$AI$46,"Q3")),"")</f>
        <v/>
      </c>
      <c r="Y31" s="72" t="str">
        <f aca="false">IFERROR(IF((SUMIFS('10. Activity Data Log'!$U$7:$U$46,'10. Activity Data Log'!$C$7:$C$46,$D31,'10. Activity Data Log'!$AD$7:$AD$46,"Q4")+SUMIFS('11. Distribution Log'!$W$7:$W$46,'11. Distribution Log'!$C$7:$C$46,$D31,'11. Distribution Log'!$AI$7:$AI$46,"Q4"))=0,"",SUMIFS('10. Activity Data Log'!$U$7:$U$46,'10. Activity Data Log'!$C$7:$C$46,$D31,'10. Activity Data Log'!$AD$7:$AD$46,"Q4")+SUMIFS('11. Distribution Log'!$W$7:$W$46,'11. Distribution Log'!$C$7:$C$46,$D31,'11. Distribution Log'!$AI$7:$AI$46,"Q4")),"")</f>
        <v/>
      </c>
      <c r="Z31" s="72" t="str">
        <f aca="false">IFERROR(IF((SUMIFS('10. Activity Data Log'!$U$7:$U$46,'10. Activity Data Log'!$C$7:$C$46,$D31,'10. Activity Data Log'!$AD$7:$AD$46,"Q5")+SUMIFS('11. Distribution Log'!$W$7:$W$46,'11. Distribution Log'!$C$7:$C$46,$D31,'11. Distribution Log'!$AI$7:$AI$46,"Q5"))=0,"",SUMIFS('10. Activity Data Log'!$U$7:$U$46,'10. Activity Data Log'!$C$7:$C$46,$D31,'10. Activity Data Log'!$AD$7:$AD$46,"Q5")+SUMIFS('11. Distribution Log'!$W$7:$W$46,'11. Distribution Log'!$C$7:$C$46,$D31,'11. Distribution Log'!$AI$7:$AI$46,"Q5")),"")</f>
        <v/>
      </c>
      <c r="AA31" s="72" t="str">
        <f aca="false">IFERROR(IF((SUMIFS('10. Activity Data Log'!$U$7:$U$46,'10. Activity Data Log'!$C$7:$C$46,$D31,'10. Activity Data Log'!$AD$7:$AD$46,"Q6")+SUMIFS('11. Distribution Log'!$W$7:$W$46,'11. Distribution Log'!$C$7:$C$46,$D31,'11. Distribution Log'!$AI$7:$AI$46,"Q6"))=0,"",SUMIFS('10. Activity Data Log'!$U$7:$U$46,'10. Activity Data Log'!$C$7:$C$46,$D31,'10. Activity Data Log'!$AD$7:$AD$46,"Q6")+SUMIFS('11. Distribution Log'!$W$7:$W$46,'11. Distribution Log'!$C$7:$C$46,$D31,'11. Distribution Log'!$AI$7:$AI$46,"Q6")),"")</f>
        <v/>
      </c>
      <c r="AB31" s="72" t="str">
        <f aca="false">IFERROR(IF((SUMIFS('10. Activity Data Log'!$U$7:$U$46,'10. Activity Data Log'!$C$7:$C$46,$D31,'10. Activity Data Log'!$AD$7:$AD$46,"Q7")+SUMIFS('11. Distribution Log'!$W$7:$W$46,'11. Distribution Log'!$C$7:$C$46,$D31,'11. Distribution Log'!$AI$7:$AI$46,"Q7"))=0,"",SUMIFS('10. Activity Data Log'!$U$7:$U$46,'10. Activity Data Log'!$C$7:$C$46,$D31,'10. Activity Data Log'!$AD$7:$AD$46,"Q7")+SUMIFS('11. Distribution Log'!$W$7:$W$46,'11. Distribution Log'!$C$7:$C$46,$D31,'11. Distribution Log'!$AI$7:$AI$46,"Q7")),"")</f>
        <v/>
      </c>
      <c r="AC31" s="72" t="str">
        <f aca="false">IFERROR(IF((SUMIFS('10. Activity Data Log'!$U$7:$U$46,'10. Activity Data Log'!$C$7:$C$46,$D31,'10. Activity Data Log'!$AD$7:$AD$46,"Q8")+SUMIFS('11. Distribution Log'!$W$7:$W$46,'11. Distribution Log'!$C$7:$C$46,$D31,'11. Distribution Log'!$AI$7:$AI$46,"Q8"))=0,"",SUMIFS('10. Activity Data Log'!$U$7:$U$46,'10. Activity Data Log'!$C$7:$C$46,$D31,'10. Activity Data Log'!$AD$7:$AD$46,"Q8")+SUMIFS('11. Distribution Log'!$W$7:$W$46,'11. Distribution Log'!$C$7:$C$46,$D31,'11. Distribution Log'!$AI$7:$AI$46,"Q8")),"")</f>
        <v/>
      </c>
      <c r="AD31" s="68" t="str">
        <f aca="false">IFERROR(IF(SUMPRODUCT((COLUMN(N31:U31)-COLUMN(N31)+1&lt;='7. IPTT'!$C$3)*N(N31:U31))=0,"",SUMPRODUCT((COLUMN(V31:AC31)-COLUMN(V31)+1&lt;='7. IPTT'!$C$3)*N(V31:AC31))/SUMPRODUCT((COLUMN(N31:U31)-COLUMN(N31)+1&lt;='7. IPTT'!$C$3)*N(N31:U31))),"")</f>
        <v/>
      </c>
      <c r="AE31" s="22" t="str">
        <f aca="false">IFERROR(IF(AD31="","No data yet",IF(AD31&gt;=0.9,"On Track",IF(AD31&gt;=0.7,"Slightly Behind","Behind"))),"")</f>
        <v>No data yet</v>
      </c>
      <c r="AF31" s="16" t="s">
        <v>1198</v>
      </c>
      <c r="AG31" s="16" t="s">
        <v>1198</v>
      </c>
      <c r="AH31" s="73" t="n">
        <v>8727.27</v>
      </c>
      <c r="AI31" s="74" t="n">
        <v>1247999.61</v>
      </c>
      <c r="AJ31" s="16" t="str">
        <f aca="false">IFERROR(IF(COUNTIF('10. Activity Data Log'!$C$7:$C$46,$D31)=0,"No Data Log entries yet",COUNTIF('10. Activity Data Log'!$C$7:$C$46,$D31)&amp;" entries logged, avg "&amp;TEXT(AVERAGEIF('10. Activity Data Log'!$C$7:$C$46,$D31,'10. Activity Data Log'!$AB$7:$AB$46),"0%")&amp;" of target"),"")</f>
        <v>No Data Log entries yet</v>
      </c>
      <c r="AK31" s="16" t="str">
        <f aca="false">IFERROR(IF(OR(J31="",J31="-"),"During [reporting period], FIVDB delivered: "&amp;E31&amp;" (target: "&amp;I31&amp;"). Source: "&amp;AM31&amp;".","During [reporting period], FIVDB delivered: "&amp;E31&amp;" (target: "&amp;I31&amp;"), contributing to indicator '"&amp;IFERROR(INDEX('7. IPTT'!$F$15:$F$37,MATCH(IF(ISNUMBER(FIND(",",J31)),TRIM(LEFT(J31,FIND(",",J31)-1)),TRIM(J31)),'7. IPTT'!$C$15:$C$37,0)),"")&amp;"' ("&amp;J31&amp;"). Source: "&amp;AM31&amp;"."),"During [reporting period], FIVDB delivered: "&amp;E31&amp;".")</f>
        <v>During [reporting period], FIVDB delivered: Deliver ToT on Gender-Responsive Pedagogy for Inclusive and Gender-Responsive Learning (staff). (target: 15 participants, 2 days), contributing to indicator 'Number of teachers/education personnel showing increased knowledge and teaching skills to address children's learning needs' (R1-I5, GEN-4). Source: FIVDB Detailed Budget, rows 84-87 (ToT Gender-Responsive Pedagogy).</v>
      </c>
      <c r="AL31" s="16" t="s">
        <v>1199</v>
      </c>
      <c r="AM31" s="16" t="s">
        <v>1218</v>
      </c>
      <c r="AN31" s="22" t="s">
        <v>197</v>
      </c>
      <c r="AO31" s="16" t="s">
        <v>1219</v>
      </c>
    </row>
    <row r="32" customFormat="false" ht="99" hidden="false" customHeight="true" outlineLevel="0" collapsed="false">
      <c r="B32" s="22" t="s">
        <v>825</v>
      </c>
      <c r="C32" s="22" t="s">
        <v>1193</v>
      </c>
      <c r="D32" s="22" t="s">
        <v>641</v>
      </c>
      <c r="E32" s="16" t="s">
        <v>642</v>
      </c>
      <c r="F32" s="16"/>
      <c r="G32" s="16" t="s">
        <v>1194</v>
      </c>
      <c r="H32" s="16" t="s">
        <v>1103</v>
      </c>
      <c r="I32" s="16" t="s">
        <v>1220</v>
      </c>
      <c r="J32" s="22" t="s">
        <v>1216</v>
      </c>
      <c r="K32" s="16" t="s">
        <v>1217</v>
      </c>
      <c r="L32" s="22" t="n">
        <v>68</v>
      </c>
      <c r="M32" s="22" t="s">
        <v>1197</v>
      </c>
      <c r="N32" s="49"/>
      <c r="O32" s="49"/>
      <c r="P32" s="49"/>
      <c r="Q32" s="49"/>
      <c r="R32" s="49"/>
      <c r="S32" s="49"/>
      <c r="T32" s="49"/>
      <c r="U32" s="49"/>
      <c r="V32" s="72" t="str">
        <f aca="false">IFERROR(IF((SUMIFS('10. Activity Data Log'!$U$7:$U$46,'10. Activity Data Log'!$C$7:$C$46,$D32,'10. Activity Data Log'!$AD$7:$AD$46,"Q1")+SUMIFS('11. Distribution Log'!$W$7:$W$46,'11. Distribution Log'!$C$7:$C$46,$D32,'11. Distribution Log'!$AI$7:$AI$46,"Q1"))=0,"",SUMIFS('10. Activity Data Log'!$U$7:$U$46,'10. Activity Data Log'!$C$7:$C$46,$D32,'10. Activity Data Log'!$AD$7:$AD$46,"Q1")+SUMIFS('11. Distribution Log'!$W$7:$W$46,'11. Distribution Log'!$C$7:$C$46,$D32,'11. Distribution Log'!$AI$7:$AI$46,"Q1")),"")</f>
        <v/>
      </c>
      <c r="W32" s="72" t="str">
        <f aca="false">IFERROR(IF((SUMIFS('10. Activity Data Log'!$U$7:$U$46,'10. Activity Data Log'!$C$7:$C$46,$D32,'10. Activity Data Log'!$AD$7:$AD$46,"Q2")+SUMIFS('11. Distribution Log'!$W$7:$W$46,'11. Distribution Log'!$C$7:$C$46,$D32,'11. Distribution Log'!$AI$7:$AI$46,"Q2"))=0,"",SUMIFS('10. Activity Data Log'!$U$7:$U$46,'10. Activity Data Log'!$C$7:$C$46,$D32,'10. Activity Data Log'!$AD$7:$AD$46,"Q2")+SUMIFS('11. Distribution Log'!$W$7:$W$46,'11. Distribution Log'!$C$7:$C$46,$D32,'11. Distribution Log'!$AI$7:$AI$46,"Q2")),"")</f>
        <v/>
      </c>
      <c r="X32" s="72" t="str">
        <f aca="false">IFERROR(IF((SUMIFS('10. Activity Data Log'!$U$7:$U$46,'10. Activity Data Log'!$C$7:$C$46,$D32,'10. Activity Data Log'!$AD$7:$AD$46,"Q3")+SUMIFS('11. Distribution Log'!$W$7:$W$46,'11. Distribution Log'!$C$7:$C$46,$D32,'11. Distribution Log'!$AI$7:$AI$46,"Q3"))=0,"",SUMIFS('10. Activity Data Log'!$U$7:$U$46,'10. Activity Data Log'!$C$7:$C$46,$D32,'10. Activity Data Log'!$AD$7:$AD$46,"Q3")+SUMIFS('11. Distribution Log'!$W$7:$W$46,'11. Distribution Log'!$C$7:$C$46,$D32,'11. Distribution Log'!$AI$7:$AI$46,"Q3")),"")</f>
        <v/>
      </c>
      <c r="Y32" s="72" t="str">
        <f aca="false">IFERROR(IF((SUMIFS('10. Activity Data Log'!$U$7:$U$46,'10. Activity Data Log'!$C$7:$C$46,$D32,'10. Activity Data Log'!$AD$7:$AD$46,"Q4")+SUMIFS('11. Distribution Log'!$W$7:$W$46,'11. Distribution Log'!$C$7:$C$46,$D32,'11. Distribution Log'!$AI$7:$AI$46,"Q4"))=0,"",SUMIFS('10. Activity Data Log'!$U$7:$U$46,'10. Activity Data Log'!$C$7:$C$46,$D32,'10. Activity Data Log'!$AD$7:$AD$46,"Q4")+SUMIFS('11. Distribution Log'!$W$7:$W$46,'11. Distribution Log'!$C$7:$C$46,$D32,'11. Distribution Log'!$AI$7:$AI$46,"Q4")),"")</f>
        <v/>
      </c>
      <c r="Z32" s="72" t="str">
        <f aca="false">IFERROR(IF((SUMIFS('10. Activity Data Log'!$U$7:$U$46,'10. Activity Data Log'!$C$7:$C$46,$D32,'10. Activity Data Log'!$AD$7:$AD$46,"Q5")+SUMIFS('11. Distribution Log'!$W$7:$W$46,'11. Distribution Log'!$C$7:$C$46,$D32,'11. Distribution Log'!$AI$7:$AI$46,"Q5"))=0,"",SUMIFS('10. Activity Data Log'!$U$7:$U$46,'10. Activity Data Log'!$C$7:$C$46,$D32,'10. Activity Data Log'!$AD$7:$AD$46,"Q5")+SUMIFS('11. Distribution Log'!$W$7:$W$46,'11. Distribution Log'!$C$7:$C$46,$D32,'11. Distribution Log'!$AI$7:$AI$46,"Q5")),"")</f>
        <v/>
      </c>
      <c r="AA32" s="72" t="str">
        <f aca="false">IFERROR(IF((SUMIFS('10. Activity Data Log'!$U$7:$U$46,'10. Activity Data Log'!$C$7:$C$46,$D32,'10. Activity Data Log'!$AD$7:$AD$46,"Q6")+SUMIFS('11. Distribution Log'!$W$7:$W$46,'11. Distribution Log'!$C$7:$C$46,$D32,'11. Distribution Log'!$AI$7:$AI$46,"Q6"))=0,"",SUMIFS('10. Activity Data Log'!$U$7:$U$46,'10. Activity Data Log'!$C$7:$C$46,$D32,'10. Activity Data Log'!$AD$7:$AD$46,"Q6")+SUMIFS('11. Distribution Log'!$W$7:$W$46,'11. Distribution Log'!$C$7:$C$46,$D32,'11. Distribution Log'!$AI$7:$AI$46,"Q6")),"")</f>
        <v/>
      </c>
      <c r="AB32" s="72" t="str">
        <f aca="false">IFERROR(IF((SUMIFS('10. Activity Data Log'!$U$7:$U$46,'10. Activity Data Log'!$C$7:$C$46,$D32,'10. Activity Data Log'!$AD$7:$AD$46,"Q7")+SUMIFS('11. Distribution Log'!$W$7:$W$46,'11. Distribution Log'!$C$7:$C$46,$D32,'11. Distribution Log'!$AI$7:$AI$46,"Q7"))=0,"",SUMIFS('10. Activity Data Log'!$U$7:$U$46,'10. Activity Data Log'!$C$7:$C$46,$D32,'10. Activity Data Log'!$AD$7:$AD$46,"Q7")+SUMIFS('11. Distribution Log'!$W$7:$W$46,'11. Distribution Log'!$C$7:$C$46,$D32,'11. Distribution Log'!$AI$7:$AI$46,"Q7")),"")</f>
        <v/>
      </c>
      <c r="AC32" s="72" t="str">
        <f aca="false">IFERROR(IF((SUMIFS('10. Activity Data Log'!$U$7:$U$46,'10. Activity Data Log'!$C$7:$C$46,$D32,'10. Activity Data Log'!$AD$7:$AD$46,"Q8")+SUMIFS('11. Distribution Log'!$W$7:$W$46,'11. Distribution Log'!$C$7:$C$46,$D32,'11. Distribution Log'!$AI$7:$AI$46,"Q8"))=0,"",SUMIFS('10. Activity Data Log'!$U$7:$U$46,'10. Activity Data Log'!$C$7:$C$46,$D32,'10. Activity Data Log'!$AD$7:$AD$46,"Q8")+SUMIFS('11. Distribution Log'!$W$7:$W$46,'11. Distribution Log'!$C$7:$C$46,$D32,'11. Distribution Log'!$AI$7:$AI$46,"Q8")),"")</f>
        <v/>
      </c>
      <c r="AD32" s="68" t="str">
        <f aca="false">IFERROR(IF(SUMPRODUCT((COLUMN(N32:U32)-COLUMN(N32)+1&lt;='7. IPTT'!$C$3)*N(N32:U32))=0,"",SUMPRODUCT((COLUMN(V32:AC32)-COLUMN(V32)+1&lt;='7. IPTT'!$C$3)*N(V32:AC32))/SUMPRODUCT((COLUMN(N32:U32)-COLUMN(N32)+1&lt;='7. IPTT'!$C$3)*N(N32:U32))),"")</f>
        <v/>
      </c>
      <c r="AE32" s="22" t="str">
        <f aca="false">IFERROR(IF(AD32="","No data yet",IF(AD32&gt;=0.9,"On Track",IF(AD32&gt;=0.7,"Slightly Behind","Behind"))),"")</f>
        <v>No data yet</v>
      </c>
      <c r="AF32" s="16" t="s">
        <v>1198</v>
      </c>
      <c r="AG32" s="16" t="s">
        <v>1198</v>
      </c>
      <c r="AH32" s="73" t="n">
        <v>8727.27</v>
      </c>
      <c r="AI32" s="74" t="n">
        <v>1247999.61</v>
      </c>
      <c r="AJ32" s="16" t="str">
        <f aca="false">IFERROR(IF(COUNTIF('10. Activity Data Log'!$C$7:$C$46,$D32)=0,"No Data Log entries yet",COUNTIF('10. Activity Data Log'!$C$7:$C$46,$D32)&amp;" entries logged, avg "&amp;TEXT(AVERAGEIF('10. Activity Data Log'!$C$7:$C$46,$D32,'10. Activity Data Log'!$AB$7:$AB$46),"0%")&amp;" of target"),"")</f>
        <v>No Data Log entries yet</v>
      </c>
      <c r="AK32" s="16" t="str">
        <f aca="false">IFERROR(IF(OR(J32="",J32="-"),"During [reporting period], FIVDB delivered: "&amp;E32&amp;" (target: "&amp;I32&amp;"). Source: "&amp;AM32&amp;".","During [reporting period], FIVDB delivered: "&amp;E32&amp;" (target: "&amp;I32&amp;"), contributing to indicator '"&amp;IFERROR(INDEX('7. IPTT'!$F$15:$F$37,MATCH(IF(ISNUMBER(FIND(",",J32)),TRIM(LEFT(J32,FIND(",",J32)-1)),TRIM(J32)),'7. IPTT'!$C$15:$C$37,0)),"")&amp;"' ("&amp;J32&amp;"). Source: "&amp;AM32&amp;"."),"During [reporting period], FIVDB delivered: "&amp;E32&amp;".")</f>
        <v>During [reporting period], FIVDB delivered: Cascade the Gender-Responsive Pedagogy training from staff ToT to all teaching volunteers. (target: 68 participants, 1 day), contributing to indicator 'Number of teachers/education personnel showing increased knowledge and teaching skills to address children's learning needs' (R1-I5, GEN-4). Source: FIVDB Detailed Budget, rows 88-90 (Cascading Gender-Responsive Pedagogy training, roll out).</v>
      </c>
      <c r="AL32" s="16" t="s">
        <v>1199</v>
      </c>
      <c r="AM32" s="16" t="s">
        <v>1221</v>
      </c>
      <c r="AN32" s="22" t="s">
        <v>197</v>
      </c>
      <c r="AO32" s="16" t="s">
        <v>1222</v>
      </c>
    </row>
    <row r="33" customFormat="false" ht="99" hidden="false" customHeight="true" outlineLevel="0" collapsed="false">
      <c r="B33" s="22" t="s">
        <v>825</v>
      </c>
      <c r="C33" s="22" t="s">
        <v>1193</v>
      </c>
      <c r="D33" s="22" t="s">
        <v>643</v>
      </c>
      <c r="E33" s="16" t="s">
        <v>644</v>
      </c>
      <c r="F33" s="16"/>
      <c r="G33" s="16" t="s">
        <v>1194</v>
      </c>
      <c r="H33" s="16" t="s">
        <v>1103</v>
      </c>
      <c r="I33" s="16" t="s">
        <v>1223</v>
      </c>
      <c r="J33" s="22" t="s">
        <v>1224</v>
      </c>
      <c r="K33" s="16" t="s">
        <v>1225</v>
      </c>
      <c r="L33" s="22" t="n">
        <v>12</v>
      </c>
      <c r="M33" s="22" t="s">
        <v>1197</v>
      </c>
      <c r="N33" s="49"/>
      <c r="O33" s="49"/>
      <c r="P33" s="49"/>
      <c r="Q33" s="49"/>
      <c r="R33" s="49"/>
      <c r="S33" s="49"/>
      <c r="T33" s="49"/>
      <c r="U33" s="49"/>
      <c r="V33" s="72" t="str">
        <f aca="false">IFERROR(IF((SUMIFS('10. Activity Data Log'!$U$7:$U$46,'10. Activity Data Log'!$C$7:$C$46,$D33,'10. Activity Data Log'!$AD$7:$AD$46,"Q1")+SUMIFS('11. Distribution Log'!$W$7:$W$46,'11. Distribution Log'!$C$7:$C$46,$D33,'11. Distribution Log'!$AI$7:$AI$46,"Q1"))=0,"",SUMIFS('10. Activity Data Log'!$U$7:$U$46,'10. Activity Data Log'!$C$7:$C$46,$D33,'10. Activity Data Log'!$AD$7:$AD$46,"Q1")+SUMIFS('11. Distribution Log'!$W$7:$W$46,'11. Distribution Log'!$C$7:$C$46,$D33,'11. Distribution Log'!$AI$7:$AI$46,"Q1")),"")</f>
        <v/>
      </c>
      <c r="W33" s="72" t="str">
        <f aca="false">IFERROR(IF((SUMIFS('10. Activity Data Log'!$U$7:$U$46,'10. Activity Data Log'!$C$7:$C$46,$D33,'10. Activity Data Log'!$AD$7:$AD$46,"Q2")+SUMIFS('11. Distribution Log'!$W$7:$W$46,'11. Distribution Log'!$C$7:$C$46,$D33,'11. Distribution Log'!$AI$7:$AI$46,"Q2"))=0,"",SUMIFS('10. Activity Data Log'!$U$7:$U$46,'10. Activity Data Log'!$C$7:$C$46,$D33,'10. Activity Data Log'!$AD$7:$AD$46,"Q2")+SUMIFS('11. Distribution Log'!$W$7:$W$46,'11. Distribution Log'!$C$7:$C$46,$D33,'11. Distribution Log'!$AI$7:$AI$46,"Q2")),"")</f>
        <v/>
      </c>
      <c r="X33" s="72" t="str">
        <f aca="false">IFERROR(IF((SUMIFS('10. Activity Data Log'!$U$7:$U$46,'10. Activity Data Log'!$C$7:$C$46,$D33,'10. Activity Data Log'!$AD$7:$AD$46,"Q3")+SUMIFS('11. Distribution Log'!$W$7:$W$46,'11. Distribution Log'!$C$7:$C$46,$D33,'11. Distribution Log'!$AI$7:$AI$46,"Q3"))=0,"",SUMIFS('10. Activity Data Log'!$U$7:$U$46,'10. Activity Data Log'!$C$7:$C$46,$D33,'10. Activity Data Log'!$AD$7:$AD$46,"Q3")+SUMIFS('11. Distribution Log'!$W$7:$W$46,'11. Distribution Log'!$C$7:$C$46,$D33,'11. Distribution Log'!$AI$7:$AI$46,"Q3")),"")</f>
        <v/>
      </c>
      <c r="Y33" s="72" t="str">
        <f aca="false">IFERROR(IF((SUMIFS('10. Activity Data Log'!$U$7:$U$46,'10. Activity Data Log'!$C$7:$C$46,$D33,'10. Activity Data Log'!$AD$7:$AD$46,"Q4")+SUMIFS('11. Distribution Log'!$W$7:$W$46,'11. Distribution Log'!$C$7:$C$46,$D33,'11. Distribution Log'!$AI$7:$AI$46,"Q4"))=0,"",SUMIFS('10. Activity Data Log'!$U$7:$U$46,'10. Activity Data Log'!$C$7:$C$46,$D33,'10. Activity Data Log'!$AD$7:$AD$46,"Q4")+SUMIFS('11. Distribution Log'!$W$7:$W$46,'11. Distribution Log'!$C$7:$C$46,$D33,'11. Distribution Log'!$AI$7:$AI$46,"Q4")),"")</f>
        <v/>
      </c>
      <c r="Z33" s="72" t="str">
        <f aca="false">IFERROR(IF((SUMIFS('10. Activity Data Log'!$U$7:$U$46,'10. Activity Data Log'!$C$7:$C$46,$D33,'10. Activity Data Log'!$AD$7:$AD$46,"Q5")+SUMIFS('11. Distribution Log'!$W$7:$W$46,'11. Distribution Log'!$C$7:$C$46,$D33,'11. Distribution Log'!$AI$7:$AI$46,"Q5"))=0,"",SUMIFS('10. Activity Data Log'!$U$7:$U$46,'10. Activity Data Log'!$C$7:$C$46,$D33,'10. Activity Data Log'!$AD$7:$AD$46,"Q5")+SUMIFS('11. Distribution Log'!$W$7:$W$46,'11. Distribution Log'!$C$7:$C$46,$D33,'11. Distribution Log'!$AI$7:$AI$46,"Q5")),"")</f>
        <v/>
      </c>
      <c r="AA33" s="72" t="str">
        <f aca="false">IFERROR(IF((SUMIFS('10. Activity Data Log'!$U$7:$U$46,'10. Activity Data Log'!$C$7:$C$46,$D33,'10. Activity Data Log'!$AD$7:$AD$46,"Q6")+SUMIFS('11. Distribution Log'!$W$7:$W$46,'11. Distribution Log'!$C$7:$C$46,$D33,'11. Distribution Log'!$AI$7:$AI$46,"Q6"))=0,"",SUMIFS('10. Activity Data Log'!$U$7:$U$46,'10. Activity Data Log'!$C$7:$C$46,$D33,'10. Activity Data Log'!$AD$7:$AD$46,"Q6")+SUMIFS('11. Distribution Log'!$W$7:$W$46,'11. Distribution Log'!$C$7:$C$46,$D33,'11. Distribution Log'!$AI$7:$AI$46,"Q6")),"")</f>
        <v/>
      </c>
      <c r="AB33" s="72" t="str">
        <f aca="false">IFERROR(IF((SUMIFS('10. Activity Data Log'!$U$7:$U$46,'10. Activity Data Log'!$C$7:$C$46,$D33,'10. Activity Data Log'!$AD$7:$AD$46,"Q7")+SUMIFS('11. Distribution Log'!$W$7:$W$46,'11. Distribution Log'!$C$7:$C$46,$D33,'11. Distribution Log'!$AI$7:$AI$46,"Q7"))=0,"",SUMIFS('10. Activity Data Log'!$U$7:$U$46,'10. Activity Data Log'!$C$7:$C$46,$D33,'10. Activity Data Log'!$AD$7:$AD$46,"Q7")+SUMIFS('11. Distribution Log'!$W$7:$W$46,'11. Distribution Log'!$C$7:$C$46,$D33,'11. Distribution Log'!$AI$7:$AI$46,"Q7")),"")</f>
        <v/>
      </c>
      <c r="AC33" s="72" t="str">
        <f aca="false">IFERROR(IF((SUMIFS('10. Activity Data Log'!$U$7:$U$46,'10. Activity Data Log'!$C$7:$C$46,$D33,'10. Activity Data Log'!$AD$7:$AD$46,"Q8")+SUMIFS('11. Distribution Log'!$W$7:$W$46,'11. Distribution Log'!$C$7:$C$46,$D33,'11. Distribution Log'!$AI$7:$AI$46,"Q8"))=0,"",SUMIFS('10. Activity Data Log'!$U$7:$U$46,'10. Activity Data Log'!$C$7:$C$46,$D33,'10. Activity Data Log'!$AD$7:$AD$46,"Q8")+SUMIFS('11. Distribution Log'!$W$7:$W$46,'11. Distribution Log'!$C$7:$C$46,$D33,'11. Distribution Log'!$AI$7:$AI$46,"Q8")),"")</f>
        <v/>
      </c>
      <c r="AD33" s="68" t="str">
        <f aca="false">IFERROR(IF(SUMPRODUCT((COLUMN(N33:U33)-COLUMN(N33)+1&lt;='7. IPTT'!$C$3)*N(N33:U33))=0,"",SUMPRODUCT((COLUMN(V33:AC33)-COLUMN(V33)+1&lt;='7. IPTT'!$C$3)*N(V33:AC33))/SUMPRODUCT((COLUMN(N33:U33)-COLUMN(N33)+1&lt;='7. IPTT'!$C$3)*N(N33:U33))),"")</f>
        <v/>
      </c>
      <c r="AE33" s="22" t="str">
        <f aca="false">IFERROR(IF(AD33="","No data yet",IF(AD33&gt;=0.9,"On Track",IF(AD33&gt;=0.7,"Slightly Behind","Behind"))),"")</f>
        <v>No data yet</v>
      </c>
      <c r="AF33" s="16" t="s">
        <v>1198</v>
      </c>
      <c r="AG33" s="16" t="s">
        <v>1198</v>
      </c>
      <c r="AH33" s="73" t="n">
        <v>8727.27</v>
      </c>
      <c r="AI33" s="74" t="n">
        <v>1247999.61</v>
      </c>
      <c r="AJ33" s="16" t="str">
        <f aca="false">IFERROR(IF(COUNTIF('10. Activity Data Log'!$C$7:$C$46,$D33)=0,"No Data Log entries yet",COUNTIF('10. Activity Data Log'!$C$7:$C$46,$D33)&amp;" entries logged, avg "&amp;TEXT(AVERAGEIF('10. Activity Data Log'!$C$7:$C$46,$D33,'10. Activity Data Log'!$AB$7:$AB$46),"0%")&amp;" of target"),"")</f>
        <v>No Data Log entries yet</v>
      </c>
      <c r="AK33" s="16" t="str">
        <f aca="false">IFERROR(IF(OR(J33="",J33="-"),"During [reporting period], FIVDB delivered: "&amp;E33&amp;" (target: "&amp;I33&amp;"). Source: "&amp;AM33&amp;".","During [reporting period], FIVDB delivered: "&amp;E33&amp;" (target: "&amp;I33&amp;"), contributing to indicator '"&amp;IFERROR(INDEX('7. IPTT'!$F$15:$F$37,MATCH(IF(ISNUMBER(FIND(",",J33)),TRIM(LEFT(J33,FIND(",",J33)-1)),TRIM(J33)),'7. IPTT'!$C$15:$C$37,0)),"")&amp;"' ("&amp;J33&amp;"). Source: "&amp;AM33&amp;"."),"During [reporting period], FIVDB delivered: "&amp;E33&amp;".")</f>
        <v>During [reporting period], FIVDB delivered: Deliver ToT on Empowerment: Decision-Making and Resilience for Rohingya Women and Adolescent Girls (staff). (target: 12 participants, 1 day), contributing to indicator '' (GEN-4). Source: FIVDB Detailed Budget, rows 91-94 (ToT Empowerment session).</v>
      </c>
      <c r="AL33" s="16" t="s">
        <v>1199</v>
      </c>
      <c r="AM33" s="16" t="s">
        <v>1226</v>
      </c>
      <c r="AN33" s="22" t="s">
        <v>197</v>
      </c>
      <c r="AO33" s="16" t="s">
        <v>1227</v>
      </c>
    </row>
    <row r="34" customFormat="false" ht="99" hidden="false" customHeight="true" outlineLevel="0" collapsed="false">
      <c r="B34" s="22" t="s">
        <v>825</v>
      </c>
      <c r="C34" s="22" t="s">
        <v>1193</v>
      </c>
      <c r="D34" s="22" t="s">
        <v>645</v>
      </c>
      <c r="E34" s="16" t="s">
        <v>646</v>
      </c>
      <c r="F34" s="16"/>
      <c r="G34" s="16" t="s">
        <v>1194</v>
      </c>
      <c r="H34" s="16" t="s">
        <v>1103</v>
      </c>
      <c r="I34" s="16" t="s">
        <v>1220</v>
      </c>
      <c r="J34" s="22" t="s">
        <v>1224</v>
      </c>
      <c r="K34" s="16" t="s">
        <v>1225</v>
      </c>
      <c r="L34" s="22" t="n">
        <v>68</v>
      </c>
      <c r="M34" s="22" t="s">
        <v>1197</v>
      </c>
      <c r="N34" s="49"/>
      <c r="O34" s="49"/>
      <c r="P34" s="49"/>
      <c r="Q34" s="49"/>
      <c r="R34" s="49"/>
      <c r="S34" s="49"/>
      <c r="T34" s="49"/>
      <c r="U34" s="49"/>
      <c r="V34" s="72" t="str">
        <f aca="false">IFERROR(IF((SUMIFS('10. Activity Data Log'!$U$7:$U$46,'10. Activity Data Log'!$C$7:$C$46,$D34,'10. Activity Data Log'!$AD$7:$AD$46,"Q1")+SUMIFS('11. Distribution Log'!$W$7:$W$46,'11. Distribution Log'!$C$7:$C$46,$D34,'11. Distribution Log'!$AI$7:$AI$46,"Q1"))=0,"",SUMIFS('10. Activity Data Log'!$U$7:$U$46,'10. Activity Data Log'!$C$7:$C$46,$D34,'10. Activity Data Log'!$AD$7:$AD$46,"Q1")+SUMIFS('11. Distribution Log'!$W$7:$W$46,'11. Distribution Log'!$C$7:$C$46,$D34,'11. Distribution Log'!$AI$7:$AI$46,"Q1")),"")</f>
        <v/>
      </c>
      <c r="W34" s="72" t="str">
        <f aca="false">IFERROR(IF((SUMIFS('10. Activity Data Log'!$U$7:$U$46,'10. Activity Data Log'!$C$7:$C$46,$D34,'10. Activity Data Log'!$AD$7:$AD$46,"Q2")+SUMIFS('11. Distribution Log'!$W$7:$W$46,'11. Distribution Log'!$C$7:$C$46,$D34,'11. Distribution Log'!$AI$7:$AI$46,"Q2"))=0,"",SUMIFS('10. Activity Data Log'!$U$7:$U$46,'10. Activity Data Log'!$C$7:$C$46,$D34,'10. Activity Data Log'!$AD$7:$AD$46,"Q2")+SUMIFS('11. Distribution Log'!$W$7:$W$46,'11. Distribution Log'!$C$7:$C$46,$D34,'11. Distribution Log'!$AI$7:$AI$46,"Q2")),"")</f>
        <v/>
      </c>
      <c r="X34" s="72" t="str">
        <f aca="false">IFERROR(IF((SUMIFS('10. Activity Data Log'!$U$7:$U$46,'10. Activity Data Log'!$C$7:$C$46,$D34,'10. Activity Data Log'!$AD$7:$AD$46,"Q3")+SUMIFS('11. Distribution Log'!$W$7:$W$46,'11. Distribution Log'!$C$7:$C$46,$D34,'11. Distribution Log'!$AI$7:$AI$46,"Q3"))=0,"",SUMIFS('10. Activity Data Log'!$U$7:$U$46,'10. Activity Data Log'!$C$7:$C$46,$D34,'10. Activity Data Log'!$AD$7:$AD$46,"Q3")+SUMIFS('11. Distribution Log'!$W$7:$W$46,'11. Distribution Log'!$C$7:$C$46,$D34,'11. Distribution Log'!$AI$7:$AI$46,"Q3")),"")</f>
        <v/>
      </c>
      <c r="Y34" s="72" t="str">
        <f aca="false">IFERROR(IF((SUMIFS('10. Activity Data Log'!$U$7:$U$46,'10. Activity Data Log'!$C$7:$C$46,$D34,'10. Activity Data Log'!$AD$7:$AD$46,"Q4")+SUMIFS('11. Distribution Log'!$W$7:$W$46,'11. Distribution Log'!$C$7:$C$46,$D34,'11. Distribution Log'!$AI$7:$AI$46,"Q4"))=0,"",SUMIFS('10. Activity Data Log'!$U$7:$U$46,'10. Activity Data Log'!$C$7:$C$46,$D34,'10. Activity Data Log'!$AD$7:$AD$46,"Q4")+SUMIFS('11. Distribution Log'!$W$7:$W$46,'11. Distribution Log'!$C$7:$C$46,$D34,'11. Distribution Log'!$AI$7:$AI$46,"Q4")),"")</f>
        <v/>
      </c>
      <c r="Z34" s="72" t="str">
        <f aca="false">IFERROR(IF((SUMIFS('10. Activity Data Log'!$U$7:$U$46,'10. Activity Data Log'!$C$7:$C$46,$D34,'10. Activity Data Log'!$AD$7:$AD$46,"Q5")+SUMIFS('11. Distribution Log'!$W$7:$W$46,'11. Distribution Log'!$C$7:$C$46,$D34,'11. Distribution Log'!$AI$7:$AI$46,"Q5"))=0,"",SUMIFS('10. Activity Data Log'!$U$7:$U$46,'10. Activity Data Log'!$C$7:$C$46,$D34,'10. Activity Data Log'!$AD$7:$AD$46,"Q5")+SUMIFS('11. Distribution Log'!$W$7:$W$46,'11. Distribution Log'!$C$7:$C$46,$D34,'11. Distribution Log'!$AI$7:$AI$46,"Q5")),"")</f>
        <v/>
      </c>
      <c r="AA34" s="72" t="str">
        <f aca="false">IFERROR(IF((SUMIFS('10. Activity Data Log'!$U$7:$U$46,'10. Activity Data Log'!$C$7:$C$46,$D34,'10. Activity Data Log'!$AD$7:$AD$46,"Q6")+SUMIFS('11. Distribution Log'!$W$7:$W$46,'11. Distribution Log'!$C$7:$C$46,$D34,'11. Distribution Log'!$AI$7:$AI$46,"Q6"))=0,"",SUMIFS('10. Activity Data Log'!$U$7:$U$46,'10. Activity Data Log'!$C$7:$C$46,$D34,'10. Activity Data Log'!$AD$7:$AD$46,"Q6")+SUMIFS('11. Distribution Log'!$W$7:$W$46,'11. Distribution Log'!$C$7:$C$46,$D34,'11. Distribution Log'!$AI$7:$AI$46,"Q6")),"")</f>
        <v/>
      </c>
      <c r="AB34" s="72" t="str">
        <f aca="false">IFERROR(IF((SUMIFS('10. Activity Data Log'!$U$7:$U$46,'10. Activity Data Log'!$C$7:$C$46,$D34,'10. Activity Data Log'!$AD$7:$AD$46,"Q7")+SUMIFS('11. Distribution Log'!$W$7:$W$46,'11. Distribution Log'!$C$7:$C$46,$D34,'11. Distribution Log'!$AI$7:$AI$46,"Q7"))=0,"",SUMIFS('10. Activity Data Log'!$U$7:$U$46,'10. Activity Data Log'!$C$7:$C$46,$D34,'10. Activity Data Log'!$AD$7:$AD$46,"Q7")+SUMIFS('11. Distribution Log'!$W$7:$W$46,'11. Distribution Log'!$C$7:$C$46,$D34,'11. Distribution Log'!$AI$7:$AI$46,"Q7")),"")</f>
        <v/>
      </c>
      <c r="AC34" s="72" t="str">
        <f aca="false">IFERROR(IF((SUMIFS('10. Activity Data Log'!$U$7:$U$46,'10. Activity Data Log'!$C$7:$C$46,$D34,'10. Activity Data Log'!$AD$7:$AD$46,"Q8")+SUMIFS('11. Distribution Log'!$W$7:$W$46,'11. Distribution Log'!$C$7:$C$46,$D34,'11. Distribution Log'!$AI$7:$AI$46,"Q8"))=0,"",SUMIFS('10. Activity Data Log'!$U$7:$U$46,'10. Activity Data Log'!$C$7:$C$46,$D34,'10. Activity Data Log'!$AD$7:$AD$46,"Q8")+SUMIFS('11. Distribution Log'!$W$7:$W$46,'11. Distribution Log'!$C$7:$C$46,$D34,'11. Distribution Log'!$AI$7:$AI$46,"Q8")),"")</f>
        <v/>
      </c>
      <c r="AD34" s="68" t="str">
        <f aca="false">IFERROR(IF(SUMPRODUCT((COLUMN(N34:U34)-COLUMN(N34)+1&lt;='7. IPTT'!$C$3)*N(N34:U34))=0,"",SUMPRODUCT((COLUMN(V34:AC34)-COLUMN(V34)+1&lt;='7. IPTT'!$C$3)*N(V34:AC34))/SUMPRODUCT((COLUMN(N34:U34)-COLUMN(N34)+1&lt;='7. IPTT'!$C$3)*N(N34:U34))),"")</f>
        <v/>
      </c>
      <c r="AE34" s="22" t="str">
        <f aca="false">IFERROR(IF(AD34="","No data yet",IF(AD34&gt;=0.9,"On Track",IF(AD34&gt;=0.7,"Slightly Behind","Behind"))),"")</f>
        <v>No data yet</v>
      </c>
      <c r="AF34" s="16" t="s">
        <v>1198</v>
      </c>
      <c r="AG34" s="16" t="s">
        <v>1198</v>
      </c>
      <c r="AH34" s="73" t="n">
        <v>8727.27</v>
      </c>
      <c r="AI34" s="74" t="n">
        <v>1247999.61</v>
      </c>
      <c r="AJ34" s="16" t="str">
        <f aca="false">IFERROR(IF(COUNTIF('10. Activity Data Log'!$C$7:$C$46,$D34)=0,"No Data Log entries yet",COUNTIF('10. Activity Data Log'!$C$7:$C$46,$D34)&amp;" entries logged, avg "&amp;TEXT(AVERAGEIF('10. Activity Data Log'!$C$7:$C$46,$D34,'10. Activity Data Log'!$AB$7:$AB$46),"0%")&amp;" of target"),"")</f>
        <v>No Data Log entries yet</v>
      </c>
      <c r="AK34" s="16" t="str">
        <f aca="false">IFERROR(IF(OR(J34="",J34="-"),"During [reporting period], FIVDB delivered: "&amp;E34&amp;" (target: "&amp;I34&amp;"). Source: "&amp;AM34&amp;".","During [reporting period], FIVDB delivered: "&amp;E34&amp;" (target: "&amp;I34&amp;"), contributing to indicator '"&amp;IFERROR(INDEX('7. IPTT'!$F$15:$F$37,MATCH(IF(ISNUMBER(FIND(",",J34)),TRIM(LEFT(J34,FIND(",",J34)-1)),TRIM(J34)),'7. IPTT'!$C$15:$C$37,0)),"")&amp;"' ("&amp;J34&amp;"). Source: "&amp;AM34&amp;"."),"During [reporting period], FIVDB delivered: "&amp;E34&amp;".")</f>
        <v>During [reporting period], FIVDB delivered: Cascade the Empowerment/Decision-Making/Resilience session from staff ToT to teaching volunteers. (target: 68 participants, 1 day), contributing to indicator '' (GEN-4). Source: FIVDB Detailed Budget, rows 95-97 (Cascading Empowerment session, roll out).</v>
      </c>
      <c r="AL34" s="16" t="s">
        <v>1199</v>
      </c>
      <c r="AM34" s="16" t="s">
        <v>1228</v>
      </c>
      <c r="AN34" s="22" t="s">
        <v>197</v>
      </c>
      <c r="AO34" s="16" t="s">
        <v>1229</v>
      </c>
    </row>
    <row r="35" customFormat="false" ht="99" hidden="false" customHeight="true" outlineLevel="0" collapsed="false">
      <c r="B35" s="22" t="s">
        <v>825</v>
      </c>
      <c r="C35" s="22" t="s">
        <v>1193</v>
      </c>
      <c r="D35" s="22" t="s">
        <v>647</v>
      </c>
      <c r="E35" s="16" t="s">
        <v>648</v>
      </c>
      <c r="F35" s="16"/>
      <c r="G35" s="16" t="s">
        <v>1102</v>
      </c>
      <c r="H35" s="16" t="s">
        <v>1103</v>
      </c>
      <c r="I35" s="16" t="s">
        <v>1230</v>
      </c>
      <c r="J35" s="22" t="s">
        <v>1224</v>
      </c>
      <c r="K35" s="16" t="s">
        <v>1225</v>
      </c>
      <c r="L35" s="22" t="n">
        <v>200</v>
      </c>
      <c r="M35" s="22" t="s">
        <v>1197</v>
      </c>
      <c r="N35" s="49"/>
      <c r="O35" s="49"/>
      <c r="P35" s="49"/>
      <c r="Q35" s="49"/>
      <c r="R35" s="49"/>
      <c r="S35" s="49"/>
      <c r="T35" s="49"/>
      <c r="U35" s="49"/>
      <c r="V35" s="72" t="str">
        <f aca="false">IFERROR(IF((SUMIFS('10. Activity Data Log'!$U$7:$U$46,'10. Activity Data Log'!$C$7:$C$46,$D35,'10. Activity Data Log'!$AD$7:$AD$46,"Q1")+SUMIFS('11. Distribution Log'!$W$7:$W$46,'11. Distribution Log'!$C$7:$C$46,$D35,'11. Distribution Log'!$AI$7:$AI$46,"Q1"))=0,"",SUMIFS('10. Activity Data Log'!$U$7:$U$46,'10. Activity Data Log'!$C$7:$C$46,$D35,'10. Activity Data Log'!$AD$7:$AD$46,"Q1")+SUMIFS('11. Distribution Log'!$W$7:$W$46,'11. Distribution Log'!$C$7:$C$46,$D35,'11. Distribution Log'!$AI$7:$AI$46,"Q1")),"")</f>
        <v/>
      </c>
      <c r="W35" s="72" t="str">
        <f aca="false">IFERROR(IF((SUMIFS('10. Activity Data Log'!$U$7:$U$46,'10. Activity Data Log'!$C$7:$C$46,$D35,'10. Activity Data Log'!$AD$7:$AD$46,"Q2")+SUMIFS('11. Distribution Log'!$W$7:$W$46,'11. Distribution Log'!$C$7:$C$46,$D35,'11. Distribution Log'!$AI$7:$AI$46,"Q2"))=0,"",SUMIFS('10. Activity Data Log'!$U$7:$U$46,'10. Activity Data Log'!$C$7:$C$46,$D35,'10. Activity Data Log'!$AD$7:$AD$46,"Q2")+SUMIFS('11. Distribution Log'!$W$7:$W$46,'11. Distribution Log'!$C$7:$C$46,$D35,'11. Distribution Log'!$AI$7:$AI$46,"Q2")),"")</f>
        <v/>
      </c>
      <c r="X35" s="72" t="str">
        <f aca="false">IFERROR(IF((SUMIFS('10. Activity Data Log'!$U$7:$U$46,'10. Activity Data Log'!$C$7:$C$46,$D35,'10. Activity Data Log'!$AD$7:$AD$46,"Q3")+SUMIFS('11. Distribution Log'!$W$7:$W$46,'11. Distribution Log'!$C$7:$C$46,$D35,'11. Distribution Log'!$AI$7:$AI$46,"Q3"))=0,"",SUMIFS('10. Activity Data Log'!$U$7:$U$46,'10. Activity Data Log'!$C$7:$C$46,$D35,'10. Activity Data Log'!$AD$7:$AD$46,"Q3")+SUMIFS('11. Distribution Log'!$W$7:$W$46,'11. Distribution Log'!$C$7:$C$46,$D35,'11. Distribution Log'!$AI$7:$AI$46,"Q3")),"")</f>
        <v/>
      </c>
      <c r="Y35" s="72" t="str">
        <f aca="false">IFERROR(IF((SUMIFS('10. Activity Data Log'!$U$7:$U$46,'10. Activity Data Log'!$C$7:$C$46,$D35,'10. Activity Data Log'!$AD$7:$AD$46,"Q4")+SUMIFS('11. Distribution Log'!$W$7:$W$46,'11. Distribution Log'!$C$7:$C$46,$D35,'11. Distribution Log'!$AI$7:$AI$46,"Q4"))=0,"",SUMIFS('10. Activity Data Log'!$U$7:$U$46,'10. Activity Data Log'!$C$7:$C$46,$D35,'10. Activity Data Log'!$AD$7:$AD$46,"Q4")+SUMIFS('11. Distribution Log'!$W$7:$W$46,'11. Distribution Log'!$C$7:$C$46,$D35,'11. Distribution Log'!$AI$7:$AI$46,"Q4")),"")</f>
        <v/>
      </c>
      <c r="Z35" s="72" t="str">
        <f aca="false">IFERROR(IF((SUMIFS('10. Activity Data Log'!$U$7:$U$46,'10. Activity Data Log'!$C$7:$C$46,$D35,'10. Activity Data Log'!$AD$7:$AD$46,"Q5")+SUMIFS('11. Distribution Log'!$W$7:$W$46,'11. Distribution Log'!$C$7:$C$46,$D35,'11. Distribution Log'!$AI$7:$AI$46,"Q5"))=0,"",SUMIFS('10. Activity Data Log'!$U$7:$U$46,'10. Activity Data Log'!$C$7:$C$46,$D35,'10. Activity Data Log'!$AD$7:$AD$46,"Q5")+SUMIFS('11. Distribution Log'!$W$7:$W$46,'11. Distribution Log'!$C$7:$C$46,$D35,'11. Distribution Log'!$AI$7:$AI$46,"Q5")),"")</f>
        <v/>
      </c>
      <c r="AA35" s="72" t="str">
        <f aca="false">IFERROR(IF((SUMIFS('10. Activity Data Log'!$U$7:$U$46,'10. Activity Data Log'!$C$7:$C$46,$D35,'10. Activity Data Log'!$AD$7:$AD$46,"Q6")+SUMIFS('11. Distribution Log'!$W$7:$W$46,'11. Distribution Log'!$C$7:$C$46,$D35,'11. Distribution Log'!$AI$7:$AI$46,"Q6"))=0,"",SUMIFS('10. Activity Data Log'!$U$7:$U$46,'10. Activity Data Log'!$C$7:$C$46,$D35,'10. Activity Data Log'!$AD$7:$AD$46,"Q6")+SUMIFS('11. Distribution Log'!$W$7:$W$46,'11. Distribution Log'!$C$7:$C$46,$D35,'11. Distribution Log'!$AI$7:$AI$46,"Q6")),"")</f>
        <v/>
      </c>
      <c r="AB35" s="72" t="str">
        <f aca="false">IFERROR(IF((SUMIFS('10. Activity Data Log'!$U$7:$U$46,'10. Activity Data Log'!$C$7:$C$46,$D35,'10. Activity Data Log'!$AD$7:$AD$46,"Q7")+SUMIFS('11. Distribution Log'!$W$7:$W$46,'11. Distribution Log'!$C$7:$C$46,$D35,'11. Distribution Log'!$AI$7:$AI$46,"Q7"))=0,"",SUMIFS('10. Activity Data Log'!$U$7:$U$46,'10. Activity Data Log'!$C$7:$C$46,$D35,'10. Activity Data Log'!$AD$7:$AD$46,"Q7")+SUMIFS('11. Distribution Log'!$W$7:$W$46,'11. Distribution Log'!$C$7:$C$46,$D35,'11. Distribution Log'!$AI$7:$AI$46,"Q7")),"")</f>
        <v/>
      </c>
      <c r="AC35" s="72" t="str">
        <f aca="false">IFERROR(IF((SUMIFS('10. Activity Data Log'!$U$7:$U$46,'10. Activity Data Log'!$C$7:$C$46,$D35,'10. Activity Data Log'!$AD$7:$AD$46,"Q8")+SUMIFS('11. Distribution Log'!$W$7:$W$46,'11. Distribution Log'!$C$7:$C$46,$D35,'11. Distribution Log'!$AI$7:$AI$46,"Q8"))=0,"",SUMIFS('10. Activity Data Log'!$U$7:$U$46,'10. Activity Data Log'!$C$7:$C$46,$D35,'10. Activity Data Log'!$AD$7:$AD$46,"Q8")+SUMIFS('11. Distribution Log'!$W$7:$W$46,'11. Distribution Log'!$C$7:$C$46,$D35,'11. Distribution Log'!$AI$7:$AI$46,"Q8")),"")</f>
        <v/>
      </c>
      <c r="AD35" s="68" t="str">
        <f aca="false">IFERROR(IF(SUMPRODUCT((COLUMN(N35:U35)-COLUMN(N35)+1&lt;='7. IPTT'!$C$3)*N(N35:U35))=0,"",SUMPRODUCT((COLUMN(V35:AC35)-COLUMN(V35)+1&lt;='7. IPTT'!$C$3)*N(V35:AC35))/SUMPRODUCT((COLUMN(N35:U35)-COLUMN(N35)+1&lt;='7. IPTT'!$C$3)*N(N35:U35))),"")</f>
        <v/>
      </c>
      <c r="AE35" s="22" t="str">
        <f aca="false">IFERROR(IF(AD35="","No data yet",IF(AD35&gt;=0.9,"On Track",IF(AD35&gt;=0.7,"Slightly Behind","Behind"))),"")</f>
        <v>No data yet</v>
      </c>
      <c r="AF35" s="16" t="s">
        <v>1198</v>
      </c>
      <c r="AG35" s="16" t="s">
        <v>1198</v>
      </c>
      <c r="AH35" s="73" t="n">
        <v>8727.27</v>
      </c>
      <c r="AI35" s="74" t="n">
        <v>1247999.61</v>
      </c>
      <c r="AJ35" s="16" t="str">
        <f aca="false">IFERROR(IF(COUNTIF('10. Activity Data Log'!$C$7:$C$46,$D35)=0,"No Data Log entries yet",COUNTIF('10. Activity Data Log'!$C$7:$C$46,$D35)&amp;" entries logged, avg "&amp;TEXT(AVERAGEIF('10. Activity Data Log'!$C$7:$C$46,$D35,'10. Activity Data Log'!$AB$7:$AB$46),"0%")&amp;" of target"),"")</f>
        <v>No Data Log entries yet</v>
      </c>
      <c r="AK35" s="16" t="str">
        <f aca="false">IFERROR(IF(OR(J35="",J35="-"),"During [reporting period], FIVDB delivered: "&amp;E35&amp;" (target: "&amp;I35&amp;"). Source: "&amp;AM35&amp;".","During [reporting period], FIVDB delivered: "&amp;E35&amp;" (target: "&amp;I35&amp;"), contributing to indicator '"&amp;IFERROR(INDEX('7. IPTT'!$F$15:$F$37,MATCH(IF(ISNUMBER(FIND(",",J35)),TRIM(LEFT(J35,FIND(",",J35)-1)),TRIM(J35)),'7. IPTT'!$C$15:$C$37,0)),"")&amp;"' ("&amp;J35&amp;"). Source: "&amp;AM35&amp;"."),"During [reporting period], FIVDB delivered: "&amp;E35&amp;".")</f>
        <v>During [reporting period], FIVDB delivered: Hold quarterly Male Allyship and Community Leadership Circles for Gender Justice (camp-based, incl. SC). (target: 200 male participants, quarterly), contributing to indicator '' (GEN-4). Source: FIVDB Detailed Budget, rows 98-101 (Male Allyship and Community Leadership Circles, 8 sessions).</v>
      </c>
      <c r="AL35" s="16" t="s">
        <v>1231</v>
      </c>
      <c r="AM35" s="16" t="s">
        <v>1232</v>
      </c>
      <c r="AN35" s="22" t="s">
        <v>649</v>
      </c>
      <c r="AO35" s="16" t="s">
        <v>1233</v>
      </c>
    </row>
    <row r="36" customFormat="false" ht="99" hidden="false" customHeight="true" outlineLevel="0" collapsed="false">
      <c r="B36" s="22" t="s">
        <v>825</v>
      </c>
      <c r="C36" s="22" t="s">
        <v>1193</v>
      </c>
      <c r="D36" s="22" t="s">
        <v>650</v>
      </c>
      <c r="E36" s="16" t="s">
        <v>651</v>
      </c>
      <c r="F36" s="16"/>
      <c r="G36" s="16" t="s">
        <v>1194</v>
      </c>
      <c r="H36" s="16" t="s">
        <v>1103</v>
      </c>
      <c r="I36" s="16" t="s">
        <v>1234</v>
      </c>
      <c r="J36" s="22" t="s">
        <v>1216</v>
      </c>
      <c r="K36" s="16" t="s">
        <v>1217</v>
      </c>
      <c r="L36" s="22" t="n">
        <v>25</v>
      </c>
      <c r="M36" s="22" t="s">
        <v>1197</v>
      </c>
      <c r="N36" s="49"/>
      <c r="O36" s="49"/>
      <c r="P36" s="49"/>
      <c r="Q36" s="49"/>
      <c r="R36" s="49"/>
      <c r="S36" s="49"/>
      <c r="T36" s="49"/>
      <c r="U36" s="49"/>
      <c r="V36" s="72" t="str">
        <f aca="false">IFERROR(IF((SUMIFS('10. Activity Data Log'!$U$7:$U$46,'10. Activity Data Log'!$C$7:$C$46,$D36,'10. Activity Data Log'!$AD$7:$AD$46,"Q1")+SUMIFS('11. Distribution Log'!$W$7:$W$46,'11. Distribution Log'!$C$7:$C$46,$D36,'11. Distribution Log'!$AI$7:$AI$46,"Q1"))=0,"",SUMIFS('10. Activity Data Log'!$U$7:$U$46,'10. Activity Data Log'!$C$7:$C$46,$D36,'10. Activity Data Log'!$AD$7:$AD$46,"Q1")+SUMIFS('11. Distribution Log'!$W$7:$W$46,'11. Distribution Log'!$C$7:$C$46,$D36,'11. Distribution Log'!$AI$7:$AI$46,"Q1")),"")</f>
        <v/>
      </c>
      <c r="W36" s="72" t="str">
        <f aca="false">IFERROR(IF((SUMIFS('10. Activity Data Log'!$U$7:$U$46,'10. Activity Data Log'!$C$7:$C$46,$D36,'10. Activity Data Log'!$AD$7:$AD$46,"Q2")+SUMIFS('11. Distribution Log'!$W$7:$W$46,'11. Distribution Log'!$C$7:$C$46,$D36,'11. Distribution Log'!$AI$7:$AI$46,"Q2"))=0,"",SUMIFS('10. Activity Data Log'!$U$7:$U$46,'10. Activity Data Log'!$C$7:$C$46,$D36,'10. Activity Data Log'!$AD$7:$AD$46,"Q2")+SUMIFS('11. Distribution Log'!$W$7:$W$46,'11. Distribution Log'!$C$7:$C$46,$D36,'11. Distribution Log'!$AI$7:$AI$46,"Q2")),"")</f>
        <v/>
      </c>
      <c r="X36" s="72" t="str">
        <f aca="false">IFERROR(IF((SUMIFS('10. Activity Data Log'!$U$7:$U$46,'10. Activity Data Log'!$C$7:$C$46,$D36,'10. Activity Data Log'!$AD$7:$AD$46,"Q3")+SUMIFS('11. Distribution Log'!$W$7:$W$46,'11. Distribution Log'!$C$7:$C$46,$D36,'11. Distribution Log'!$AI$7:$AI$46,"Q3"))=0,"",SUMIFS('10. Activity Data Log'!$U$7:$U$46,'10. Activity Data Log'!$C$7:$C$46,$D36,'10. Activity Data Log'!$AD$7:$AD$46,"Q3")+SUMIFS('11. Distribution Log'!$W$7:$W$46,'11. Distribution Log'!$C$7:$C$46,$D36,'11. Distribution Log'!$AI$7:$AI$46,"Q3")),"")</f>
        <v/>
      </c>
      <c r="Y36" s="72" t="str">
        <f aca="false">IFERROR(IF((SUMIFS('10. Activity Data Log'!$U$7:$U$46,'10. Activity Data Log'!$C$7:$C$46,$D36,'10. Activity Data Log'!$AD$7:$AD$46,"Q4")+SUMIFS('11. Distribution Log'!$W$7:$W$46,'11. Distribution Log'!$C$7:$C$46,$D36,'11. Distribution Log'!$AI$7:$AI$46,"Q4"))=0,"",SUMIFS('10. Activity Data Log'!$U$7:$U$46,'10. Activity Data Log'!$C$7:$C$46,$D36,'10. Activity Data Log'!$AD$7:$AD$46,"Q4")+SUMIFS('11. Distribution Log'!$W$7:$W$46,'11. Distribution Log'!$C$7:$C$46,$D36,'11. Distribution Log'!$AI$7:$AI$46,"Q4")),"")</f>
        <v/>
      </c>
      <c r="Z36" s="72" t="str">
        <f aca="false">IFERROR(IF((SUMIFS('10. Activity Data Log'!$U$7:$U$46,'10. Activity Data Log'!$C$7:$C$46,$D36,'10. Activity Data Log'!$AD$7:$AD$46,"Q5")+SUMIFS('11. Distribution Log'!$W$7:$W$46,'11. Distribution Log'!$C$7:$C$46,$D36,'11. Distribution Log'!$AI$7:$AI$46,"Q5"))=0,"",SUMIFS('10. Activity Data Log'!$U$7:$U$46,'10. Activity Data Log'!$C$7:$C$46,$D36,'10. Activity Data Log'!$AD$7:$AD$46,"Q5")+SUMIFS('11. Distribution Log'!$W$7:$W$46,'11. Distribution Log'!$C$7:$C$46,$D36,'11. Distribution Log'!$AI$7:$AI$46,"Q5")),"")</f>
        <v/>
      </c>
      <c r="AA36" s="72" t="str">
        <f aca="false">IFERROR(IF((SUMIFS('10. Activity Data Log'!$U$7:$U$46,'10. Activity Data Log'!$C$7:$C$46,$D36,'10. Activity Data Log'!$AD$7:$AD$46,"Q6")+SUMIFS('11. Distribution Log'!$W$7:$W$46,'11. Distribution Log'!$C$7:$C$46,$D36,'11. Distribution Log'!$AI$7:$AI$46,"Q6"))=0,"",SUMIFS('10. Activity Data Log'!$U$7:$U$46,'10. Activity Data Log'!$C$7:$C$46,$D36,'10. Activity Data Log'!$AD$7:$AD$46,"Q6")+SUMIFS('11. Distribution Log'!$W$7:$W$46,'11. Distribution Log'!$C$7:$C$46,$D36,'11. Distribution Log'!$AI$7:$AI$46,"Q6")),"")</f>
        <v/>
      </c>
      <c r="AB36" s="72" t="str">
        <f aca="false">IFERROR(IF((SUMIFS('10. Activity Data Log'!$U$7:$U$46,'10. Activity Data Log'!$C$7:$C$46,$D36,'10. Activity Data Log'!$AD$7:$AD$46,"Q7")+SUMIFS('11. Distribution Log'!$W$7:$W$46,'11. Distribution Log'!$C$7:$C$46,$D36,'11. Distribution Log'!$AI$7:$AI$46,"Q7"))=0,"",SUMIFS('10. Activity Data Log'!$U$7:$U$46,'10. Activity Data Log'!$C$7:$C$46,$D36,'10. Activity Data Log'!$AD$7:$AD$46,"Q7")+SUMIFS('11. Distribution Log'!$W$7:$W$46,'11. Distribution Log'!$C$7:$C$46,$D36,'11. Distribution Log'!$AI$7:$AI$46,"Q7")),"")</f>
        <v/>
      </c>
      <c r="AC36" s="72" t="str">
        <f aca="false">IFERROR(IF((SUMIFS('10. Activity Data Log'!$U$7:$U$46,'10. Activity Data Log'!$C$7:$C$46,$D36,'10. Activity Data Log'!$AD$7:$AD$46,"Q8")+SUMIFS('11. Distribution Log'!$W$7:$W$46,'11. Distribution Log'!$C$7:$C$46,$D36,'11. Distribution Log'!$AI$7:$AI$46,"Q8"))=0,"",SUMIFS('10. Activity Data Log'!$U$7:$U$46,'10. Activity Data Log'!$C$7:$C$46,$D36,'10. Activity Data Log'!$AD$7:$AD$46,"Q8")+SUMIFS('11. Distribution Log'!$W$7:$W$46,'11. Distribution Log'!$C$7:$C$46,$D36,'11. Distribution Log'!$AI$7:$AI$46,"Q8")),"")</f>
        <v/>
      </c>
      <c r="AD36" s="68" t="str">
        <f aca="false">IFERROR(IF(SUMPRODUCT((COLUMN(N36:U36)-COLUMN(N36)+1&lt;='7. IPTT'!$C$3)*N(N36:U36))=0,"",SUMPRODUCT((COLUMN(V36:AC36)-COLUMN(V36)+1&lt;='7. IPTT'!$C$3)*N(V36:AC36))/SUMPRODUCT((COLUMN(N36:U36)-COLUMN(N36)+1&lt;='7. IPTT'!$C$3)*N(N36:U36))),"")</f>
        <v/>
      </c>
      <c r="AE36" s="22" t="str">
        <f aca="false">IFERROR(IF(AD36="","No data yet",IF(AD36&gt;=0.9,"On Track",IF(AD36&gt;=0.7,"Slightly Behind","Behind"))),"")</f>
        <v>No data yet</v>
      </c>
      <c r="AF36" s="16" t="s">
        <v>1198</v>
      </c>
      <c r="AG36" s="16" t="s">
        <v>1198</v>
      </c>
      <c r="AH36" s="73" t="n">
        <v>8727.27</v>
      </c>
      <c r="AI36" s="74" t="n">
        <v>1247999.61</v>
      </c>
      <c r="AJ36" s="16" t="str">
        <f aca="false">IFERROR(IF(COUNTIF('10. Activity Data Log'!$C$7:$C$46,$D36)=0,"No Data Log entries yet",COUNTIF('10. Activity Data Log'!$C$7:$C$46,$D36)&amp;" entries logged, avg "&amp;TEXT(AVERAGEIF('10. Activity Data Log'!$C$7:$C$46,$D36,'10. Activity Data Log'!$AB$7:$AB$46),"0%")&amp;" of target"),"")</f>
        <v>No Data Log entries yet</v>
      </c>
      <c r="AK36" s="16" t="str">
        <f aca="false">IFERROR(IF(OR(J36="",J36="-"),"During [reporting period], FIVDB delivered: "&amp;E36&amp;" (target: "&amp;I36&amp;"). Source: "&amp;AM36&amp;".","During [reporting period], FIVDB delivered: "&amp;E36&amp;" (target: "&amp;I36&amp;"), contributing to indicator '"&amp;IFERROR(INDEX('7. IPTT'!$F$15:$F$37,MATCH(IF(ISNUMBER(FIND(",",J36)),TRIM(LEFT(J36,FIND(",",J36)-1)),TRIM(J36)),'7. IPTT'!$C$15:$C$37,0)),"")&amp;"' ("&amp;J36&amp;"). Source: "&amp;AM36&amp;"."),"During [reporting period], FIVDB delivered: "&amp;E36&amp;".")</f>
        <v>During [reporting period], FIVDB delivered: Deliver ToT on Gender Equality in Education for field staff, facilitators and consortium partners. (target: 25 participants, 2 days), contributing to indicator 'Number of teachers/education personnel showing increased knowledge and teaching skills to address children's learning needs' (R1-I5, GEN-4). Source: FIVDB Detailed Budget, rows 102-105 (ToT Gender Equality in Education).</v>
      </c>
      <c r="AL36" s="16" t="s">
        <v>1199</v>
      </c>
      <c r="AM36" s="16" t="s">
        <v>1235</v>
      </c>
      <c r="AN36" s="22" t="s">
        <v>197</v>
      </c>
      <c r="AO36" s="16" t="s">
        <v>1236</v>
      </c>
    </row>
    <row r="37" customFormat="false" ht="99" hidden="false" customHeight="true" outlineLevel="0" collapsed="false">
      <c r="B37" s="22" t="s">
        <v>825</v>
      </c>
      <c r="C37" s="22" t="s">
        <v>1193</v>
      </c>
      <c r="D37" s="22" t="s">
        <v>652</v>
      </c>
      <c r="E37" s="16" t="s">
        <v>653</v>
      </c>
      <c r="F37" s="16"/>
      <c r="G37" s="16" t="s">
        <v>1194</v>
      </c>
      <c r="H37" s="16" t="s">
        <v>1103</v>
      </c>
      <c r="I37" s="16" t="s">
        <v>1208</v>
      </c>
      <c r="J37" s="22" t="s">
        <v>1216</v>
      </c>
      <c r="K37" s="16" t="s">
        <v>1217</v>
      </c>
      <c r="L37" s="22" t="n">
        <v>68</v>
      </c>
      <c r="M37" s="22" t="s">
        <v>1197</v>
      </c>
      <c r="N37" s="49"/>
      <c r="O37" s="49"/>
      <c r="P37" s="49"/>
      <c r="Q37" s="49"/>
      <c r="R37" s="49"/>
      <c r="S37" s="49"/>
      <c r="T37" s="49"/>
      <c r="U37" s="49"/>
      <c r="V37" s="72" t="str">
        <f aca="false">IFERROR(IF((SUMIFS('10. Activity Data Log'!$U$7:$U$46,'10. Activity Data Log'!$C$7:$C$46,$D37,'10. Activity Data Log'!$AD$7:$AD$46,"Q1")+SUMIFS('11. Distribution Log'!$W$7:$W$46,'11. Distribution Log'!$C$7:$C$46,$D37,'11. Distribution Log'!$AI$7:$AI$46,"Q1"))=0,"",SUMIFS('10. Activity Data Log'!$U$7:$U$46,'10. Activity Data Log'!$C$7:$C$46,$D37,'10. Activity Data Log'!$AD$7:$AD$46,"Q1")+SUMIFS('11. Distribution Log'!$W$7:$W$46,'11. Distribution Log'!$C$7:$C$46,$D37,'11. Distribution Log'!$AI$7:$AI$46,"Q1")),"")</f>
        <v/>
      </c>
      <c r="W37" s="72" t="str">
        <f aca="false">IFERROR(IF((SUMIFS('10. Activity Data Log'!$U$7:$U$46,'10. Activity Data Log'!$C$7:$C$46,$D37,'10. Activity Data Log'!$AD$7:$AD$46,"Q2")+SUMIFS('11. Distribution Log'!$W$7:$W$46,'11. Distribution Log'!$C$7:$C$46,$D37,'11. Distribution Log'!$AI$7:$AI$46,"Q2"))=0,"",SUMIFS('10. Activity Data Log'!$U$7:$U$46,'10. Activity Data Log'!$C$7:$C$46,$D37,'10. Activity Data Log'!$AD$7:$AD$46,"Q2")+SUMIFS('11. Distribution Log'!$W$7:$W$46,'11. Distribution Log'!$C$7:$C$46,$D37,'11. Distribution Log'!$AI$7:$AI$46,"Q2")),"")</f>
        <v/>
      </c>
      <c r="X37" s="72" t="str">
        <f aca="false">IFERROR(IF((SUMIFS('10. Activity Data Log'!$U$7:$U$46,'10. Activity Data Log'!$C$7:$C$46,$D37,'10. Activity Data Log'!$AD$7:$AD$46,"Q3")+SUMIFS('11. Distribution Log'!$W$7:$W$46,'11. Distribution Log'!$C$7:$C$46,$D37,'11. Distribution Log'!$AI$7:$AI$46,"Q3"))=0,"",SUMIFS('10. Activity Data Log'!$U$7:$U$46,'10. Activity Data Log'!$C$7:$C$46,$D37,'10. Activity Data Log'!$AD$7:$AD$46,"Q3")+SUMIFS('11. Distribution Log'!$W$7:$W$46,'11. Distribution Log'!$C$7:$C$46,$D37,'11. Distribution Log'!$AI$7:$AI$46,"Q3")),"")</f>
        <v/>
      </c>
      <c r="Y37" s="72" t="str">
        <f aca="false">IFERROR(IF((SUMIFS('10. Activity Data Log'!$U$7:$U$46,'10. Activity Data Log'!$C$7:$C$46,$D37,'10. Activity Data Log'!$AD$7:$AD$46,"Q4")+SUMIFS('11. Distribution Log'!$W$7:$W$46,'11. Distribution Log'!$C$7:$C$46,$D37,'11. Distribution Log'!$AI$7:$AI$46,"Q4"))=0,"",SUMIFS('10. Activity Data Log'!$U$7:$U$46,'10. Activity Data Log'!$C$7:$C$46,$D37,'10. Activity Data Log'!$AD$7:$AD$46,"Q4")+SUMIFS('11. Distribution Log'!$W$7:$W$46,'11. Distribution Log'!$C$7:$C$46,$D37,'11. Distribution Log'!$AI$7:$AI$46,"Q4")),"")</f>
        <v/>
      </c>
      <c r="Z37" s="72" t="str">
        <f aca="false">IFERROR(IF((SUMIFS('10. Activity Data Log'!$U$7:$U$46,'10. Activity Data Log'!$C$7:$C$46,$D37,'10. Activity Data Log'!$AD$7:$AD$46,"Q5")+SUMIFS('11. Distribution Log'!$W$7:$W$46,'11. Distribution Log'!$C$7:$C$46,$D37,'11. Distribution Log'!$AI$7:$AI$46,"Q5"))=0,"",SUMIFS('10. Activity Data Log'!$U$7:$U$46,'10. Activity Data Log'!$C$7:$C$46,$D37,'10. Activity Data Log'!$AD$7:$AD$46,"Q5")+SUMIFS('11. Distribution Log'!$W$7:$W$46,'11. Distribution Log'!$C$7:$C$46,$D37,'11. Distribution Log'!$AI$7:$AI$46,"Q5")),"")</f>
        <v/>
      </c>
      <c r="AA37" s="72" t="str">
        <f aca="false">IFERROR(IF((SUMIFS('10. Activity Data Log'!$U$7:$U$46,'10. Activity Data Log'!$C$7:$C$46,$D37,'10. Activity Data Log'!$AD$7:$AD$46,"Q6")+SUMIFS('11. Distribution Log'!$W$7:$W$46,'11. Distribution Log'!$C$7:$C$46,$D37,'11. Distribution Log'!$AI$7:$AI$46,"Q6"))=0,"",SUMIFS('10. Activity Data Log'!$U$7:$U$46,'10. Activity Data Log'!$C$7:$C$46,$D37,'10. Activity Data Log'!$AD$7:$AD$46,"Q6")+SUMIFS('11. Distribution Log'!$W$7:$W$46,'11. Distribution Log'!$C$7:$C$46,$D37,'11. Distribution Log'!$AI$7:$AI$46,"Q6")),"")</f>
        <v/>
      </c>
      <c r="AB37" s="72" t="str">
        <f aca="false">IFERROR(IF((SUMIFS('10. Activity Data Log'!$U$7:$U$46,'10. Activity Data Log'!$C$7:$C$46,$D37,'10. Activity Data Log'!$AD$7:$AD$46,"Q7")+SUMIFS('11. Distribution Log'!$W$7:$W$46,'11. Distribution Log'!$C$7:$C$46,$D37,'11. Distribution Log'!$AI$7:$AI$46,"Q7"))=0,"",SUMIFS('10. Activity Data Log'!$U$7:$U$46,'10. Activity Data Log'!$C$7:$C$46,$D37,'10. Activity Data Log'!$AD$7:$AD$46,"Q7")+SUMIFS('11. Distribution Log'!$W$7:$W$46,'11. Distribution Log'!$C$7:$C$46,$D37,'11. Distribution Log'!$AI$7:$AI$46,"Q7")),"")</f>
        <v/>
      </c>
      <c r="AC37" s="72" t="str">
        <f aca="false">IFERROR(IF((SUMIFS('10. Activity Data Log'!$U$7:$U$46,'10. Activity Data Log'!$C$7:$C$46,$D37,'10. Activity Data Log'!$AD$7:$AD$46,"Q8")+SUMIFS('11. Distribution Log'!$W$7:$W$46,'11. Distribution Log'!$C$7:$C$46,$D37,'11. Distribution Log'!$AI$7:$AI$46,"Q8"))=0,"",SUMIFS('10. Activity Data Log'!$U$7:$U$46,'10. Activity Data Log'!$C$7:$C$46,$D37,'10. Activity Data Log'!$AD$7:$AD$46,"Q8")+SUMIFS('11. Distribution Log'!$W$7:$W$46,'11. Distribution Log'!$C$7:$C$46,$D37,'11. Distribution Log'!$AI$7:$AI$46,"Q8")),"")</f>
        <v/>
      </c>
      <c r="AD37" s="68" t="str">
        <f aca="false">IFERROR(IF(SUMPRODUCT((COLUMN(N37:U37)-COLUMN(N37)+1&lt;='7. IPTT'!$C$3)*N(N37:U37))=0,"",SUMPRODUCT((COLUMN(V37:AC37)-COLUMN(V37)+1&lt;='7. IPTT'!$C$3)*N(V37:AC37))/SUMPRODUCT((COLUMN(N37:U37)-COLUMN(N37)+1&lt;='7. IPTT'!$C$3)*N(N37:U37))),"")</f>
        <v/>
      </c>
      <c r="AE37" s="22" t="str">
        <f aca="false">IFERROR(IF(AD37="","No data yet",IF(AD37&gt;=0.9,"On Track",IF(AD37&gt;=0.7,"Slightly Behind","Behind"))),"")</f>
        <v>No data yet</v>
      </c>
      <c r="AF37" s="16" t="s">
        <v>1198</v>
      </c>
      <c r="AG37" s="16" t="s">
        <v>1198</v>
      </c>
      <c r="AH37" s="73" t="n">
        <v>8727.27</v>
      </c>
      <c r="AI37" s="74" t="n">
        <v>1247999.61</v>
      </c>
      <c r="AJ37" s="16" t="str">
        <f aca="false">IFERROR(IF(COUNTIF('10. Activity Data Log'!$C$7:$C$46,$D37)=0,"No Data Log entries yet",COUNTIF('10. Activity Data Log'!$C$7:$C$46,$D37)&amp;" entries logged, avg "&amp;TEXT(AVERAGEIF('10. Activity Data Log'!$C$7:$C$46,$D37,'10. Activity Data Log'!$AB$7:$AB$46),"0%")&amp;" of target"),"")</f>
        <v>No Data Log entries yet</v>
      </c>
      <c r="AK37" s="16" t="str">
        <f aca="false">IFERROR(IF(OR(J37="",J37="-"),"During [reporting period], FIVDB delivered: "&amp;E37&amp;" (target: "&amp;I37&amp;"). Source: "&amp;AM37&amp;".","During [reporting period], FIVDB delivered: "&amp;E37&amp;" (target: "&amp;I37&amp;"), contributing to indicator '"&amp;IFERROR(INDEX('7. IPTT'!$F$15:$F$37,MATCH(IF(ISNUMBER(FIND(",",J37)),TRIM(LEFT(J37,FIND(",",J37)-1)),TRIM(J37)),'7. IPTT'!$C$15:$C$37,0)),"")&amp;"' ("&amp;J37&amp;"). Source: "&amp;AM37&amp;"."),"During [reporting period], FIVDB delivered: "&amp;E37&amp;".")</f>
        <v>During [reporting period], FIVDB delivered: Cascade the Gender Equality in Education training from ToT to field staff/facilitators. (target: 68 participants, 4 days), contributing to indicator 'Number of teachers/education personnel showing increased knowledge and teaching skills to address children's learning needs' (R1-I5, GEN-4). Source: FIVDB Detailed Budget, rows 106-108 (Cascading Gender Equality in Education, roll out).</v>
      </c>
      <c r="AL37" s="16" t="s">
        <v>1199</v>
      </c>
      <c r="AM37" s="16" t="s">
        <v>1237</v>
      </c>
      <c r="AN37" s="22" t="s">
        <v>197</v>
      </c>
      <c r="AO37" s="16" t="s">
        <v>1211</v>
      </c>
    </row>
    <row r="38" customFormat="false" ht="99" hidden="false" customHeight="true" outlineLevel="0" collapsed="false">
      <c r="B38" s="22" t="s">
        <v>825</v>
      </c>
      <c r="C38" s="22" t="s">
        <v>1193</v>
      </c>
      <c r="D38" s="22" t="s">
        <v>654</v>
      </c>
      <c r="E38" s="16" t="s">
        <v>655</v>
      </c>
      <c r="F38" s="16"/>
      <c r="G38" s="16" t="s">
        <v>1102</v>
      </c>
      <c r="H38" s="16" t="s">
        <v>1103</v>
      </c>
      <c r="I38" s="16" t="s">
        <v>1238</v>
      </c>
      <c r="J38" s="22" t="s">
        <v>1239</v>
      </c>
      <c r="K38" s="16" t="s">
        <v>1240</v>
      </c>
      <c r="L38" s="22" t="n">
        <v>22</v>
      </c>
      <c r="M38" s="22" t="s">
        <v>1197</v>
      </c>
      <c r="N38" s="49"/>
      <c r="O38" s="49"/>
      <c r="P38" s="49"/>
      <c r="Q38" s="49"/>
      <c r="R38" s="49"/>
      <c r="S38" s="49"/>
      <c r="T38" s="49"/>
      <c r="U38" s="49"/>
      <c r="V38" s="72" t="str">
        <f aca="false">IFERROR(IF((SUMIFS('10. Activity Data Log'!$U$7:$U$46,'10. Activity Data Log'!$C$7:$C$46,$D38,'10. Activity Data Log'!$AD$7:$AD$46,"Q1")+SUMIFS('11. Distribution Log'!$W$7:$W$46,'11. Distribution Log'!$C$7:$C$46,$D38,'11. Distribution Log'!$AI$7:$AI$46,"Q1"))=0,"",SUMIFS('10. Activity Data Log'!$U$7:$U$46,'10. Activity Data Log'!$C$7:$C$46,$D38,'10. Activity Data Log'!$AD$7:$AD$46,"Q1")+SUMIFS('11. Distribution Log'!$W$7:$W$46,'11. Distribution Log'!$C$7:$C$46,$D38,'11. Distribution Log'!$AI$7:$AI$46,"Q1")),"")</f>
        <v/>
      </c>
      <c r="W38" s="72" t="str">
        <f aca="false">IFERROR(IF((SUMIFS('10. Activity Data Log'!$U$7:$U$46,'10. Activity Data Log'!$C$7:$C$46,$D38,'10. Activity Data Log'!$AD$7:$AD$46,"Q2")+SUMIFS('11. Distribution Log'!$W$7:$W$46,'11. Distribution Log'!$C$7:$C$46,$D38,'11. Distribution Log'!$AI$7:$AI$46,"Q2"))=0,"",SUMIFS('10. Activity Data Log'!$U$7:$U$46,'10. Activity Data Log'!$C$7:$C$46,$D38,'10. Activity Data Log'!$AD$7:$AD$46,"Q2")+SUMIFS('11. Distribution Log'!$W$7:$W$46,'11. Distribution Log'!$C$7:$C$46,$D38,'11. Distribution Log'!$AI$7:$AI$46,"Q2")),"")</f>
        <v/>
      </c>
      <c r="X38" s="72" t="str">
        <f aca="false">IFERROR(IF((SUMIFS('10. Activity Data Log'!$U$7:$U$46,'10. Activity Data Log'!$C$7:$C$46,$D38,'10. Activity Data Log'!$AD$7:$AD$46,"Q3")+SUMIFS('11. Distribution Log'!$W$7:$W$46,'11. Distribution Log'!$C$7:$C$46,$D38,'11. Distribution Log'!$AI$7:$AI$46,"Q3"))=0,"",SUMIFS('10. Activity Data Log'!$U$7:$U$46,'10. Activity Data Log'!$C$7:$C$46,$D38,'10. Activity Data Log'!$AD$7:$AD$46,"Q3")+SUMIFS('11. Distribution Log'!$W$7:$W$46,'11. Distribution Log'!$C$7:$C$46,$D38,'11. Distribution Log'!$AI$7:$AI$46,"Q3")),"")</f>
        <v/>
      </c>
      <c r="Y38" s="72" t="str">
        <f aca="false">IFERROR(IF((SUMIFS('10. Activity Data Log'!$U$7:$U$46,'10. Activity Data Log'!$C$7:$C$46,$D38,'10. Activity Data Log'!$AD$7:$AD$46,"Q4")+SUMIFS('11. Distribution Log'!$W$7:$W$46,'11. Distribution Log'!$C$7:$C$46,$D38,'11. Distribution Log'!$AI$7:$AI$46,"Q4"))=0,"",SUMIFS('10. Activity Data Log'!$U$7:$U$46,'10. Activity Data Log'!$C$7:$C$46,$D38,'10. Activity Data Log'!$AD$7:$AD$46,"Q4")+SUMIFS('11. Distribution Log'!$W$7:$W$46,'11. Distribution Log'!$C$7:$C$46,$D38,'11. Distribution Log'!$AI$7:$AI$46,"Q4")),"")</f>
        <v/>
      </c>
      <c r="Z38" s="72" t="str">
        <f aca="false">IFERROR(IF((SUMIFS('10. Activity Data Log'!$U$7:$U$46,'10. Activity Data Log'!$C$7:$C$46,$D38,'10. Activity Data Log'!$AD$7:$AD$46,"Q5")+SUMIFS('11. Distribution Log'!$W$7:$W$46,'11. Distribution Log'!$C$7:$C$46,$D38,'11. Distribution Log'!$AI$7:$AI$46,"Q5"))=0,"",SUMIFS('10. Activity Data Log'!$U$7:$U$46,'10. Activity Data Log'!$C$7:$C$46,$D38,'10. Activity Data Log'!$AD$7:$AD$46,"Q5")+SUMIFS('11. Distribution Log'!$W$7:$W$46,'11. Distribution Log'!$C$7:$C$46,$D38,'11. Distribution Log'!$AI$7:$AI$46,"Q5")),"")</f>
        <v/>
      </c>
      <c r="AA38" s="72" t="str">
        <f aca="false">IFERROR(IF((SUMIFS('10. Activity Data Log'!$U$7:$U$46,'10. Activity Data Log'!$C$7:$C$46,$D38,'10. Activity Data Log'!$AD$7:$AD$46,"Q6")+SUMIFS('11. Distribution Log'!$W$7:$W$46,'11. Distribution Log'!$C$7:$C$46,$D38,'11. Distribution Log'!$AI$7:$AI$46,"Q6"))=0,"",SUMIFS('10. Activity Data Log'!$U$7:$U$46,'10. Activity Data Log'!$C$7:$C$46,$D38,'10. Activity Data Log'!$AD$7:$AD$46,"Q6")+SUMIFS('11. Distribution Log'!$W$7:$W$46,'11. Distribution Log'!$C$7:$C$46,$D38,'11. Distribution Log'!$AI$7:$AI$46,"Q6")),"")</f>
        <v/>
      </c>
      <c r="AB38" s="72" t="str">
        <f aca="false">IFERROR(IF((SUMIFS('10. Activity Data Log'!$U$7:$U$46,'10. Activity Data Log'!$C$7:$C$46,$D38,'10. Activity Data Log'!$AD$7:$AD$46,"Q7")+SUMIFS('11. Distribution Log'!$W$7:$W$46,'11. Distribution Log'!$C$7:$C$46,$D38,'11. Distribution Log'!$AI$7:$AI$46,"Q7"))=0,"",SUMIFS('10. Activity Data Log'!$U$7:$U$46,'10. Activity Data Log'!$C$7:$C$46,$D38,'10. Activity Data Log'!$AD$7:$AD$46,"Q7")+SUMIFS('11. Distribution Log'!$W$7:$W$46,'11. Distribution Log'!$C$7:$C$46,$D38,'11. Distribution Log'!$AI$7:$AI$46,"Q7")),"")</f>
        <v/>
      </c>
      <c r="AC38" s="72" t="str">
        <f aca="false">IFERROR(IF((SUMIFS('10. Activity Data Log'!$U$7:$U$46,'10. Activity Data Log'!$C$7:$C$46,$D38,'10. Activity Data Log'!$AD$7:$AD$46,"Q8")+SUMIFS('11. Distribution Log'!$W$7:$W$46,'11. Distribution Log'!$C$7:$C$46,$D38,'11. Distribution Log'!$AI$7:$AI$46,"Q8"))=0,"",SUMIFS('10. Activity Data Log'!$U$7:$U$46,'10. Activity Data Log'!$C$7:$C$46,$D38,'10. Activity Data Log'!$AD$7:$AD$46,"Q8")+SUMIFS('11. Distribution Log'!$W$7:$W$46,'11. Distribution Log'!$C$7:$C$46,$D38,'11. Distribution Log'!$AI$7:$AI$46,"Q8")),"")</f>
        <v/>
      </c>
      <c r="AD38" s="68" t="str">
        <f aca="false">IFERROR(IF(SUMPRODUCT((COLUMN(N38:U38)-COLUMN(N38)+1&lt;='7. IPTT'!$C$3)*N(N38:U38))=0,"",SUMPRODUCT((COLUMN(V38:AC38)-COLUMN(V38)+1&lt;='7. IPTT'!$C$3)*N(V38:AC38))/SUMPRODUCT((COLUMN(N38:U38)-COLUMN(N38)+1&lt;='7. IPTT'!$C$3)*N(N38:U38))),"")</f>
        <v/>
      </c>
      <c r="AE38" s="22" t="str">
        <f aca="false">IFERROR(IF(AD38="","No data yet",IF(AD38&gt;=0.9,"On Track",IF(AD38&gt;=0.7,"Slightly Behind","Behind"))),"")</f>
        <v>No data yet</v>
      </c>
      <c r="AF38" s="16" t="s">
        <v>1198</v>
      </c>
      <c r="AG38" s="16" t="s">
        <v>1198</v>
      </c>
      <c r="AH38" s="73" t="n">
        <v>8727.27</v>
      </c>
      <c r="AI38" s="74" t="n">
        <v>1247999.61</v>
      </c>
      <c r="AJ38" s="16" t="str">
        <f aca="false">IFERROR(IF(COUNTIF('10. Activity Data Log'!$C$7:$C$46,$D38)=0,"No Data Log entries yet",COUNTIF('10. Activity Data Log'!$C$7:$C$46,$D38)&amp;" entries logged, avg "&amp;TEXT(AVERAGEIF('10. Activity Data Log'!$C$7:$C$46,$D38,'10. Activity Data Log'!$AB$7:$AB$46),"0%")&amp;" of target"),"")</f>
        <v>No Data Log entries yet</v>
      </c>
      <c r="AK38" s="16" t="str">
        <f aca="false">IFERROR(IF(OR(J38="",J38="-"),"During [reporting period], FIVDB delivered: "&amp;E38&amp;" (target: "&amp;I38&amp;"). Source: "&amp;AM38&amp;".","During [reporting period], FIVDB delivered: "&amp;E38&amp;" (target: "&amp;I38&amp;"), contributing to indicator '"&amp;IFERROR(INDEX('7. IPTT'!$F$15:$F$37,MATCH(IF(ISNUMBER(FIND(",",J38)),TRIM(LEFT(J38,FIND(",",J38)-1)),TRIM(J38)),'7. IPTT'!$C$15:$C$37,0)),"")&amp;"' ("&amp;J38&amp;"). Source: "&amp;AM38&amp;"."),"During [reporting period], FIVDB delivered: "&amp;E38&amp;".")</f>
        <v>During [reporting period], FIVDB delivered: Facilitate Adolescent Girls' Safe Circles for Leadership and Protection (per centre, peer group). (target: 22 participants, 1 day), contributing to indicator '' (GEN-4, R1-I6). Source: FIVDB Detailed Budget, rows 109-112 (Adolescent Girls' Safe Circles - non-budgetary).</v>
      </c>
      <c r="AL38" s="16" t="s">
        <v>1231</v>
      </c>
      <c r="AM38" s="16" t="s">
        <v>1241</v>
      </c>
      <c r="AN38" s="22" t="s">
        <v>197</v>
      </c>
      <c r="AO38" s="16" t="s">
        <v>1242</v>
      </c>
    </row>
    <row r="39" customFormat="false" ht="99" hidden="false" customHeight="true" outlineLevel="0" collapsed="false">
      <c r="B39" s="22" t="s">
        <v>825</v>
      </c>
      <c r="C39" s="22" t="s">
        <v>1193</v>
      </c>
      <c r="D39" s="22" t="s">
        <v>656</v>
      </c>
      <c r="E39" s="16" t="s">
        <v>657</v>
      </c>
      <c r="F39" s="16"/>
      <c r="G39" s="16" t="s">
        <v>1243</v>
      </c>
      <c r="H39" s="16" t="s">
        <v>1103</v>
      </c>
      <c r="I39" s="16" t="s">
        <v>1244</v>
      </c>
      <c r="J39" s="22" t="s">
        <v>543</v>
      </c>
      <c r="K39" s="16" t="s">
        <v>1245</v>
      </c>
      <c r="L39" s="22" t="n">
        <v>15</v>
      </c>
      <c r="M39" s="22" t="s">
        <v>1197</v>
      </c>
      <c r="N39" s="49"/>
      <c r="O39" s="49"/>
      <c r="P39" s="49"/>
      <c r="Q39" s="49"/>
      <c r="R39" s="49"/>
      <c r="S39" s="49"/>
      <c r="T39" s="49"/>
      <c r="U39" s="49"/>
      <c r="V39" s="72" t="str">
        <f aca="false">IFERROR(IF((SUMIFS('10. Activity Data Log'!$U$7:$U$46,'10. Activity Data Log'!$C$7:$C$46,$D39,'10. Activity Data Log'!$AD$7:$AD$46,"Q1")+SUMIFS('11. Distribution Log'!$W$7:$W$46,'11. Distribution Log'!$C$7:$C$46,$D39,'11. Distribution Log'!$AI$7:$AI$46,"Q1"))=0,"",SUMIFS('10. Activity Data Log'!$U$7:$U$46,'10. Activity Data Log'!$C$7:$C$46,$D39,'10. Activity Data Log'!$AD$7:$AD$46,"Q1")+SUMIFS('11. Distribution Log'!$W$7:$W$46,'11. Distribution Log'!$C$7:$C$46,$D39,'11. Distribution Log'!$AI$7:$AI$46,"Q1")),"")</f>
        <v/>
      </c>
      <c r="W39" s="72" t="str">
        <f aca="false">IFERROR(IF((SUMIFS('10. Activity Data Log'!$U$7:$U$46,'10. Activity Data Log'!$C$7:$C$46,$D39,'10. Activity Data Log'!$AD$7:$AD$46,"Q2")+SUMIFS('11. Distribution Log'!$W$7:$W$46,'11. Distribution Log'!$C$7:$C$46,$D39,'11. Distribution Log'!$AI$7:$AI$46,"Q2"))=0,"",SUMIFS('10. Activity Data Log'!$U$7:$U$46,'10. Activity Data Log'!$C$7:$C$46,$D39,'10. Activity Data Log'!$AD$7:$AD$46,"Q2")+SUMIFS('11. Distribution Log'!$W$7:$W$46,'11. Distribution Log'!$C$7:$C$46,$D39,'11. Distribution Log'!$AI$7:$AI$46,"Q2")),"")</f>
        <v/>
      </c>
      <c r="X39" s="72" t="str">
        <f aca="false">IFERROR(IF((SUMIFS('10. Activity Data Log'!$U$7:$U$46,'10. Activity Data Log'!$C$7:$C$46,$D39,'10. Activity Data Log'!$AD$7:$AD$46,"Q3")+SUMIFS('11. Distribution Log'!$W$7:$W$46,'11. Distribution Log'!$C$7:$C$46,$D39,'11. Distribution Log'!$AI$7:$AI$46,"Q3"))=0,"",SUMIFS('10. Activity Data Log'!$U$7:$U$46,'10. Activity Data Log'!$C$7:$C$46,$D39,'10. Activity Data Log'!$AD$7:$AD$46,"Q3")+SUMIFS('11. Distribution Log'!$W$7:$W$46,'11. Distribution Log'!$C$7:$C$46,$D39,'11. Distribution Log'!$AI$7:$AI$46,"Q3")),"")</f>
        <v/>
      </c>
      <c r="Y39" s="72" t="str">
        <f aca="false">IFERROR(IF((SUMIFS('10. Activity Data Log'!$U$7:$U$46,'10. Activity Data Log'!$C$7:$C$46,$D39,'10. Activity Data Log'!$AD$7:$AD$46,"Q4")+SUMIFS('11. Distribution Log'!$W$7:$W$46,'11. Distribution Log'!$C$7:$C$46,$D39,'11. Distribution Log'!$AI$7:$AI$46,"Q4"))=0,"",SUMIFS('10. Activity Data Log'!$U$7:$U$46,'10. Activity Data Log'!$C$7:$C$46,$D39,'10. Activity Data Log'!$AD$7:$AD$46,"Q4")+SUMIFS('11. Distribution Log'!$W$7:$W$46,'11. Distribution Log'!$C$7:$C$46,$D39,'11. Distribution Log'!$AI$7:$AI$46,"Q4")),"")</f>
        <v/>
      </c>
      <c r="Z39" s="72" t="str">
        <f aca="false">IFERROR(IF((SUMIFS('10. Activity Data Log'!$U$7:$U$46,'10. Activity Data Log'!$C$7:$C$46,$D39,'10. Activity Data Log'!$AD$7:$AD$46,"Q5")+SUMIFS('11. Distribution Log'!$W$7:$W$46,'11. Distribution Log'!$C$7:$C$46,$D39,'11. Distribution Log'!$AI$7:$AI$46,"Q5"))=0,"",SUMIFS('10. Activity Data Log'!$U$7:$U$46,'10. Activity Data Log'!$C$7:$C$46,$D39,'10. Activity Data Log'!$AD$7:$AD$46,"Q5")+SUMIFS('11. Distribution Log'!$W$7:$W$46,'11. Distribution Log'!$C$7:$C$46,$D39,'11. Distribution Log'!$AI$7:$AI$46,"Q5")),"")</f>
        <v/>
      </c>
      <c r="AA39" s="72" t="str">
        <f aca="false">IFERROR(IF((SUMIFS('10. Activity Data Log'!$U$7:$U$46,'10. Activity Data Log'!$C$7:$C$46,$D39,'10. Activity Data Log'!$AD$7:$AD$46,"Q6")+SUMIFS('11. Distribution Log'!$W$7:$W$46,'11. Distribution Log'!$C$7:$C$46,$D39,'11. Distribution Log'!$AI$7:$AI$46,"Q6"))=0,"",SUMIFS('10. Activity Data Log'!$U$7:$U$46,'10. Activity Data Log'!$C$7:$C$46,$D39,'10. Activity Data Log'!$AD$7:$AD$46,"Q6")+SUMIFS('11. Distribution Log'!$W$7:$W$46,'11. Distribution Log'!$C$7:$C$46,$D39,'11. Distribution Log'!$AI$7:$AI$46,"Q6")),"")</f>
        <v/>
      </c>
      <c r="AB39" s="72" t="str">
        <f aca="false">IFERROR(IF((SUMIFS('10. Activity Data Log'!$U$7:$U$46,'10. Activity Data Log'!$C$7:$C$46,$D39,'10. Activity Data Log'!$AD$7:$AD$46,"Q7")+SUMIFS('11. Distribution Log'!$W$7:$W$46,'11. Distribution Log'!$C$7:$C$46,$D39,'11. Distribution Log'!$AI$7:$AI$46,"Q7"))=0,"",SUMIFS('10. Activity Data Log'!$U$7:$U$46,'10. Activity Data Log'!$C$7:$C$46,$D39,'10. Activity Data Log'!$AD$7:$AD$46,"Q7")+SUMIFS('11. Distribution Log'!$W$7:$W$46,'11. Distribution Log'!$C$7:$C$46,$D39,'11. Distribution Log'!$AI$7:$AI$46,"Q7")),"")</f>
        <v/>
      </c>
      <c r="AC39" s="72" t="str">
        <f aca="false">IFERROR(IF((SUMIFS('10. Activity Data Log'!$U$7:$U$46,'10. Activity Data Log'!$C$7:$C$46,$D39,'10. Activity Data Log'!$AD$7:$AD$46,"Q8")+SUMIFS('11. Distribution Log'!$W$7:$W$46,'11. Distribution Log'!$C$7:$C$46,$D39,'11. Distribution Log'!$AI$7:$AI$46,"Q8"))=0,"",SUMIFS('10. Activity Data Log'!$U$7:$U$46,'10. Activity Data Log'!$C$7:$C$46,$D39,'10. Activity Data Log'!$AD$7:$AD$46,"Q8")+SUMIFS('11. Distribution Log'!$W$7:$W$46,'11. Distribution Log'!$C$7:$C$46,$D39,'11. Distribution Log'!$AI$7:$AI$46,"Q8")),"")</f>
        <v/>
      </c>
      <c r="AD39" s="68" t="str">
        <f aca="false">IFERROR(IF(SUMPRODUCT((COLUMN(N39:U39)-COLUMN(N39)+1&lt;='7. IPTT'!$C$3)*N(N39:U39))=0,"",SUMPRODUCT((COLUMN(V39:AC39)-COLUMN(V39)+1&lt;='7. IPTT'!$C$3)*N(V39:AC39))/SUMPRODUCT((COLUMN(N39:U39)-COLUMN(N39)+1&lt;='7. IPTT'!$C$3)*N(N39:U39))),"")</f>
        <v/>
      </c>
      <c r="AE39" s="22" t="str">
        <f aca="false">IFERROR(IF(AD39="","No data yet",IF(AD39&gt;=0.9,"On Track",IF(AD39&gt;=0.7,"Slightly Behind","Behind"))),"")</f>
        <v>No data yet</v>
      </c>
      <c r="AF39" s="16" t="s">
        <v>1198</v>
      </c>
      <c r="AG39" s="16" t="s">
        <v>1198</v>
      </c>
      <c r="AH39" s="73" t="n">
        <v>8727.27</v>
      </c>
      <c r="AI39" s="74" t="n">
        <v>1247999.61</v>
      </c>
      <c r="AJ39" s="16" t="str">
        <f aca="false">IFERROR(IF(COUNTIF('10. Activity Data Log'!$C$7:$C$46,$D39)=0,"No Data Log entries yet",COUNTIF('10. Activity Data Log'!$C$7:$C$46,$D39)&amp;" entries logged, avg "&amp;TEXT(AVERAGEIF('10. Activity Data Log'!$C$7:$C$46,$D39,'10. Activity Data Log'!$AB$7:$AB$46),"0%")&amp;" of target"),"")</f>
        <v>No Data Log entries yet</v>
      </c>
      <c r="AK39" s="16" t="str">
        <f aca="false">IFERROR(IF(OR(J39="",J39="-"),"During [reporting period], FIVDB delivered: "&amp;E39&amp;" (target: "&amp;I39&amp;"). Source: "&amp;AM39&amp;".","During [reporting period], FIVDB delivered: "&amp;E39&amp;" (target: "&amp;I39&amp;"), contributing to indicator '"&amp;IFERROR(INDEX('7. IPTT'!$F$15:$F$37,MATCH(IF(ISNUMBER(FIND(",",J39)),TRIM(LEFT(J39,FIND(",",J39)-1)),TRIM(J39)),'7. IPTT'!$C$15:$C$37,0)),"")&amp;"' ("&amp;J39&amp;"). Source: "&amp;AM39&amp;"."),"During [reporting period], FIVDB delivered: "&amp;E39&amp;".")</f>
        <v>During [reporting period], FIVDB delivered: Hold monthly project progress/coordination meetings. (target: 15 participants, 24 days/2yrs). Source: FIVDB Detailed Budget, rows 113-116 (Monthly project progress/coordination meeting).</v>
      </c>
      <c r="AL39" s="16" t="s">
        <v>1246</v>
      </c>
      <c r="AM39" s="16" t="s">
        <v>1247</v>
      </c>
      <c r="AN39" s="22" t="s">
        <v>658</v>
      </c>
      <c r="AO39" s="16" t="s">
        <v>1248</v>
      </c>
    </row>
    <row r="40" customFormat="false" ht="19.5" hidden="false" customHeight="true" outlineLevel="0" collapsed="false">
      <c r="B40" s="66" t="s">
        <v>1249</v>
      </c>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row>
    <row r="41" customFormat="false" ht="99" hidden="false" customHeight="true" outlineLevel="0" collapsed="false">
      <c r="B41" s="22" t="s">
        <v>825</v>
      </c>
      <c r="C41" s="22" t="s">
        <v>1250</v>
      </c>
      <c r="D41" s="22" t="s">
        <v>659</v>
      </c>
      <c r="E41" s="16" t="s">
        <v>660</v>
      </c>
      <c r="F41" s="16"/>
      <c r="G41" s="16" t="s">
        <v>1102</v>
      </c>
      <c r="H41" s="16" t="s">
        <v>1103</v>
      </c>
      <c r="I41" s="16" t="s">
        <v>1251</v>
      </c>
      <c r="J41" s="22" t="s">
        <v>889</v>
      </c>
      <c r="K41" s="16" t="s">
        <v>1252</v>
      </c>
      <c r="L41" s="22" t="n">
        <v>67</v>
      </c>
      <c r="M41" s="22" t="s">
        <v>1253</v>
      </c>
      <c r="N41" s="49"/>
      <c r="O41" s="49"/>
      <c r="P41" s="49"/>
      <c r="Q41" s="49"/>
      <c r="R41" s="49"/>
      <c r="S41" s="49"/>
      <c r="T41" s="49"/>
      <c r="U41" s="49"/>
      <c r="V41" s="72" t="str">
        <f aca="false">IFERROR(IF((SUMIFS('10. Activity Data Log'!$U$7:$U$46,'10. Activity Data Log'!$C$7:$C$46,$D41,'10. Activity Data Log'!$AD$7:$AD$46,"Q1")+SUMIFS('11. Distribution Log'!$W$7:$W$46,'11. Distribution Log'!$C$7:$C$46,$D41,'11. Distribution Log'!$AI$7:$AI$46,"Q1"))=0,"",SUMIFS('10. Activity Data Log'!$U$7:$U$46,'10. Activity Data Log'!$C$7:$C$46,$D41,'10. Activity Data Log'!$AD$7:$AD$46,"Q1")+SUMIFS('11. Distribution Log'!$W$7:$W$46,'11. Distribution Log'!$C$7:$C$46,$D41,'11. Distribution Log'!$AI$7:$AI$46,"Q1")),"")</f>
        <v/>
      </c>
      <c r="W41" s="72" t="str">
        <f aca="false">IFERROR(IF((SUMIFS('10. Activity Data Log'!$U$7:$U$46,'10. Activity Data Log'!$C$7:$C$46,$D41,'10. Activity Data Log'!$AD$7:$AD$46,"Q2")+SUMIFS('11. Distribution Log'!$W$7:$W$46,'11. Distribution Log'!$C$7:$C$46,$D41,'11. Distribution Log'!$AI$7:$AI$46,"Q2"))=0,"",SUMIFS('10. Activity Data Log'!$U$7:$U$46,'10. Activity Data Log'!$C$7:$C$46,$D41,'10. Activity Data Log'!$AD$7:$AD$46,"Q2")+SUMIFS('11. Distribution Log'!$W$7:$W$46,'11. Distribution Log'!$C$7:$C$46,$D41,'11. Distribution Log'!$AI$7:$AI$46,"Q2")),"")</f>
        <v/>
      </c>
      <c r="X41" s="72" t="str">
        <f aca="false">IFERROR(IF((SUMIFS('10. Activity Data Log'!$U$7:$U$46,'10. Activity Data Log'!$C$7:$C$46,$D41,'10. Activity Data Log'!$AD$7:$AD$46,"Q3")+SUMIFS('11. Distribution Log'!$W$7:$W$46,'11. Distribution Log'!$C$7:$C$46,$D41,'11. Distribution Log'!$AI$7:$AI$46,"Q3"))=0,"",SUMIFS('10. Activity Data Log'!$U$7:$U$46,'10. Activity Data Log'!$C$7:$C$46,$D41,'10. Activity Data Log'!$AD$7:$AD$46,"Q3")+SUMIFS('11. Distribution Log'!$W$7:$W$46,'11. Distribution Log'!$C$7:$C$46,$D41,'11. Distribution Log'!$AI$7:$AI$46,"Q3")),"")</f>
        <v/>
      </c>
      <c r="Y41" s="72" t="str">
        <f aca="false">IFERROR(IF((SUMIFS('10. Activity Data Log'!$U$7:$U$46,'10. Activity Data Log'!$C$7:$C$46,$D41,'10. Activity Data Log'!$AD$7:$AD$46,"Q4")+SUMIFS('11. Distribution Log'!$W$7:$W$46,'11. Distribution Log'!$C$7:$C$46,$D41,'11. Distribution Log'!$AI$7:$AI$46,"Q4"))=0,"",SUMIFS('10. Activity Data Log'!$U$7:$U$46,'10. Activity Data Log'!$C$7:$C$46,$D41,'10. Activity Data Log'!$AD$7:$AD$46,"Q4")+SUMIFS('11. Distribution Log'!$W$7:$W$46,'11. Distribution Log'!$C$7:$C$46,$D41,'11. Distribution Log'!$AI$7:$AI$46,"Q4")),"")</f>
        <v/>
      </c>
      <c r="Z41" s="72" t="str">
        <f aca="false">IFERROR(IF((SUMIFS('10. Activity Data Log'!$U$7:$U$46,'10. Activity Data Log'!$C$7:$C$46,$D41,'10. Activity Data Log'!$AD$7:$AD$46,"Q5")+SUMIFS('11. Distribution Log'!$W$7:$W$46,'11. Distribution Log'!$C$7:$C$46,$D41,'11. Distribution Log'!$AI$7:$AI$46,"Q5"))=0,"",SUMIFS('10. Activity Data Log'!$U$7:$U$46,'10. Activity Data Log'!$C$7:$C$46,$D41,'10. Activity Data Log'!$AD$7:$AD$46,"Q5")+SUMIFS('11. Distribution Log'!$W$7:$W$46,'11. Distribution Log'!$C$7:$C$46,$D41,'11. Distribution Log'!$AI$7:$AI$46,"Q5")),"")</f>
        <v/>
      </c>
      <c r="AA41" s="72" t="str">
        <f aca="false">IFERROR(IF((SUMIFS('10. Activity Data Log'!$U$7:$U$46,'10. Activity Data Log'!$C$7:$C$46,$D41,'10. Activity Data Log'!$AD$7:$AD$46,"Q6")+SUMIFS('11. Distribution Log'!$W$7:$W$46,'11. Distribution Log'!$C$7:$C$46,$D41,'11. Distribution Log'!$AI$7:$AI$46,"Q6"))=0,"",SUMIFS('10. Activity Data Log'!$U$7:$U$46,'10. Activity Data Log'!$C$7:$C$46,$D41,'10. Activity Data Log'!$AD$7:$AD$46,"Q6")+SUMIFS('11. Distribution Log'!$W$7:$W$46,'11. Distribution Log'!$C$7:$C$46,$D41,'11. Distribution Log'!$AI$7:$AI$46,"Q6")),"")</f>
        <v/>
      </c>
      <c r="AB41" s="72" t="str">
        <f aca="false">IFERROR(IF((SUMIFS('10. Activity Data Log'!$U$7:$U$46,'10. Activity Data Log'!$C$7:$C$46,$D41,'10. Activity Data Log'!$AD$7:$AD$46,"Q7")+SUMIFS('11. Distribution Log'!$W$7:$W$46,'11. Distribution Log'!$C$7:$C$46,$D41,'11. Distribution Log'!$AI$7:$AI$46,"Q7"))=0,"",SUMIFS('10. Activity Data Log'!$U$7:$U$46,'10. Activity Data Log'!$C$7:$C$46,$D41,'10. Activity Data Log'!$AD$7:$AD$46,"Q7")+SUMIFS('11. Distribution Log'!$W$7:$W$46,'11. Distribution Log'!$C$7:$C$46,$D41,'11. Distribution Log'!$AI$7:$AI$46,"Q7")),"")</f>
        <v/>
      </c>
      <c r="AC41" s="72" t="str">
        <f aca="false">IFERROR(IF((SUMIFS('10. Activity Data Log'!$U$7:$U$46,'10. Activity Data Log'!$C$7:$C$46,$D41,'10. Activity Data Log'!$AD$7:$AD$46,"Q8")+SUMIFS('11. Distribution Log'!$W$7:$W$46,'11. Distribution Log'!$C$7:$C$46,$D41,'11. Distribution Log'!$AI$7:$AI$46,"Q8"))=0,"",SUMIFS('10. Activity Data Log'!$U$7:$U$46,'10. Activity Data Log'!$C$7:$C$46,$D41,'10. Activity Data Log'!$AD$7:$AD$46,"Q8")+SUMIFS('11. Distribution Log'!$W$7:$W$46,'11. Distribution Log'!$C$7:$C$46,$D41,'11. Distribution Log'!$AI$7:$AI$46,"Q8")),"")</f>
        <v/>
      </c>
      <c r="AD41" s="68" t="str">
        <f aca="false">IFERROR(IF(SUMPRODUCT((COLUMN(N41:U41)-COLUMN(N41)+1&lt;='7. IPTT'!$C$3)*N(N41:U41))=0,"",SUMPRODUCT((COLUMN(V41:AC41)-COLUMN(V41)+1&lt;='7. IPTT'!$C$3)*N(V41:AC41))/SUMPRODUCT((COLUMN(N41:U41)-COLUMN(N41)+1&lt;='7. IPTT'!$C$3)*N(N41:U41))),"")</f>
        <v/>
      </c>
      <c r="AE41" s="22" t="str">
        <f aca="false">IFERROR(IF(AD41="","No data yet",IF(AD41&gt;=0.9,"On Track",IF(AD41&gt;=0.7,"Slightly Behind","Behind"))),"")</f>
        <v>No data yet</v>
      </c>
      <c r="AF41" s="16" t="s">
        <v>1254</v>
      </c>
      <c r="AG41" s="16" t="s">
        <v>1254</v>
      </c>
      <c r="AH41" s="73" t="n">
        <v>7658.46</v>
      </c>
      <c r="AI41" s="74" t="n">
        <v>1095159.78</v>
      </c>
      <c r="AJ41" s="16" t="str">
        <f aca="false">IFERROR(IF(COUNTIF('10. Activity Data Log'!$C$7:$C$46,$D41)=0,"No Data Log entries yet",COUNTIF('10. Activity Data Log'!$C$7:$C$46,$D41)&amp;" entries logged, avg "&amp;TEXT(AVERAGEIF('10. Activity Data Log'!$C$7:$C$46,$D41,'10. Activity Data Log'!$AB$7:$AB$46),"0%")&amp;" of target"),"")</f>
        <v>No Data Log entries yet</v>
      </c>
      <c r="AK41" s="16" t="str">
        <f aca="false">IFERROR(IF(OR(J41="",J41="-"),"During [reporting period], FIVDB delivered: "&amp;E41&amp;" (target: "&amp;I41&amp;"). Source: "&amp;AM41&amp;".","During [reporting period], FIVDB delivered: "&amp;E41&amp;" (target: "&amp;I41&amp;"), contributing to indicator '"&amp;IFERROR(INDEX('7. IPTT'!$F$15:$F$37,MATCH(IF(ISNUMBER(FIND(",",J41)),TRIM(LEFT(J41,FIND(",",J41)-1)),TRIM(J41)),'7. IPTT'!$C$15:$C$37,0)),"")&amp;"' ("&amp;J41&amp;"). Source: "&amp;AM41&amp;"."),"During [reporting period], FIVDB delivered: "&amp;E41&amp;".")</f>
        <v>During [reporting period], FIVDB delivered: Provide SEL storybooks to CBLFs to ensure a joyful learning environment. (target: 67 copies, one-time), contributing to indicator 'Number of students, teachers and other education personnel provided with psycho-social support services' (R1-I6). Source: FIVDB Detailed Budget, rows 118-119 (Storybook on SEL, printing module).</v>
      </c>
      <c r="AL41" s="16" t="s">
        <v>1255</v>
      </c>
      <c r="AM41" s="16" t="s">
        <v>1256</v>
      </c>
      <c r="AN41" s="22" t="s">
        <v>197</v>
      </c>
      <c r="AO41" s="16" t="s">
        <v>1257</v>
      </c>
    </row>
    <row r="42" customFormat="false" ht="99" hidden="false" customHeight="true" outlineLevel="0" collapsed="false">
      <c r="B42" s="22" t="s">
        <v>825</v>
      </c>
      <c r="C42" s="22" t="s">
        <v>1250</v>
      </c>
      <c r="D42" s="22" t="s">
        <v>661</v>
      </c>
      <c r="E42" s="16" t="s">
        <v>662</v>
      </c>
      <c r="F42" s="16"/>
      <c r="G42" s="16" t="s">
        <v>1243</v>
      </c>
      <c r="H42" s="16" t="s">
        <v>1103</v>
      </c>
      <c r="I42" s="16" t="s">
        <v>1258</v>
      </c>
      <c r="J42" s="22" t="s">
        <v>180</v>
      </c>
      <c r="K42" s="16" t="s">
        <v>1259</v>
      </c>
      <c r="L42" s="22" t="n">
        <v>204</v>
      </c>
      <c r="M42" s="22" t="s">
        <v>1260</v>
      </c>
      <c r="N42" s="49"/>
      <c r="O42" s="49"/>
      <c r="P42" s="49"/>
      <c r="Q42" s="49"/>
      <c r="R42" s="49"/>
      <c r="S42" s="49"/>
      <c r="T42" s="49"/>
      <c r="U42" s="49"/>
      <c r="V42" s="72" t="str">
        <f aca="false">IFERROR(IF((SUMIFS('10. Activity Data Log'!$U$7:$U$46,'10. Activity Data Log'!$C$7:$C$46,$D42,'10. Activity Data Log'!$AD$7:$AD$46,"Q1")+SUMIFS('11. Distribution Log'!$W$7:$W$46,'11. Distribution Log'!$C$7:$C$46,$D42,'11. Distribution Log'!$AI$7:$AI$46,"Q1"))=0,"",SUMIFS('10. Activity Data Log'!$U$7:$U$46,'10. Activity Data Log'!$C$7:$C$46,$D42,'10. Activity Data Log'!$AD$7:$AD$46,"Q1")+SUMIFS('11. Distribution Log'!$W$7:$W$46,'11. Distribution Log'!$C$7:$C$46,$D42,'11. Distribution Log'!$AI$7:$AI$46,"Q1")),"")</f>
        <v/>
      </c>
      <c r="W42" s="72" t="str">
        <f aca="false">IFERROR(IF((SUMIFS('10. Activity Data Log'!$U$7:$U$46,'10. Activity Data Log'!$C$7:$C$46,$D42,'10. Activity Data Log'!$AD$7:$AD$46,"Q2")+SUMIFS('11. Distribution Log'!$W$7:$W$46,'11. Distribution Log'!$C$7:$C$46,$D42,'11. Distribution Log'!$AI$7:$AI$46,"Q2"))=0,"",SUMIFS('10. Activity Data Log'!$U$7:$U$46,'10. Activity Data Log'!$C$7:$C$46,$D42,'10. Activity Data Log'!$AD$7:$AD$46,"Q2")+SUMIFS('11. Distribution Log'!$W$7:$W$46,'11. Distribution Log'!$C$7:$C$46,$D42,'11. Distribution Log'!$AI$7:$AI$46,"Q2")),"")</f>
        <v/>
      </c>
      <c r="X42" s="72" t="str">
        <f aca="false">IFERROR(IF((SUMIFS('10. Activity Data Log'!$U$7:$U$46,'10. Activity Data Log'!$C$7:$C$46,$D42,'10. Activity Data Log'!$AD$7:$AD$46,"Q3")+SUMIFS('11. Distribution Log'!$W$7:$W$46,'11. Distribution Log'!$C$7:$C$46,$D42,'11. Distribution Log'!$AI$7:$AI$46,"Q3"))=0,"",SUMIFS('10. Activity Data Log'!$U$7:$U$46,'10. Activity Data Log'!$C$7:$C$46,$D42,'10. Activity Data Log'!$AD$7:$AD$46,"Q3")+SUMIFS('11. Distribution Log'!$W$7:$W$46,'11. Distribution Log'!$C$7:$C$46,$D42,'11. Distribution Log'!$AI$7:$AI$46,"Q3")),"")</f>
        <v/>
      </c>
      <c r="Y42" s="72" t="str">
        <f aca="false">IFERROR(IF((SUMIFS('10. Activity Data Log'!$U$7:$U$46,'10. Activity Data Log'!$C$7:$C$46,$D42,'10. Activity Data Log'!$AD$7:$AD$46,"Q4")+SUMIFS('11. Distribution Log'!$W$7:$W$46,'11. Distribution Log'!$C$7:$C$46,$D42,'11. Distribution Log'!$AI$7:$AI$46,"Q4"))=0,"",SUMIFS('10. Activity Data Log'!$U$7:$U$46,'10. Activity Data Log'!$C$7:$C$46,$D42,'10. Activity Data Log'!$AD$7:$AD$46,"Q4")+SUMIFS('11. Distribution Log'!$W$7:$W$46,'11. Distribution Log'!$C$7:$C$46,$D42,'11. Distribution Log'!$AI$7:$AI$46,"Q4")),"")</f>
        <v/>
      </c>
      <c r="Z42" s="72" t="str">
        <f aca="false">IFERROR(IF((SUMIFS('10. Activity Data Log'!$U$7:$U$46,'10. Activity Data Log'!$C$7:$C$46,$D42,'10. Activity Data Log'!$AD$7:$AD$46,"Q5")+SUMIFS('11. Distribution Log'!$W$7:$W$46,'11. Distribution Log'!$C$7:$C$46,$D42,'11. Distribution Log'!$AI$7:$AI$46,"Q5"))=0,"",SUMIFS('10. Activity Data Log'!$U$7:$U$46,'10. Activity Data Log'!$C$7:$C$46,$D42,'10. Activity Data Log'!$AD$7:$AD$46,"Q5")+SUMIFS('11. Distribution Log'!$W$7:$W$46,'11. Distribution Log'!$C$7:$C$46,$D42,'11. Distribution Log'!$AI$7:$AI$46,"Q5")),"")</f>
        <v/>
      </c>
      <c r="AA42" s="72" t="str">
        <f aca="false">IFERROR(IF((SUMIFS('10. Activity Data Log'!$U$7:$U$46,'10. Activity Data Log'!$C$7:$C$46,$D42,'10. Activity Data Log'!$AD$7:$AD$46,"Q6")+SUMIFS('11. Distribution Log'!$W$7:$W$46,'11. Distribution Log'!$C$7:$C$46,$D42,'11. Distribution Log'!$AI$7:$AI$46,"Q6"))=0,"",SUMIFS('10. Activity Data Log'!$U$7:$U$46,'10. Activity Data Log'!$C$7:$C$46,$D42,'10. Activity Data Log'!$AD$7:$AD$46,"Q6")+SUMIFS('11. Distribution Log'!$W$7:$W$46,'11. Distribution Log'!$C$7:$C$46,$D42,'11. Distribution Log'!$AI$7:$AI$46,"Q6")),"")</f>
        <v/>
      </c>
      <c r="AB42" s="72" t="str">
        <f aca="false">IFERROR(IF((SUMIFS('10. Activity Data Log'!$U$7:$U$46,'10. Activity Data Log'!$C$7:$C$46,$D42,'10. Activity Data Log'!$AD$7:$AD$46,"Q7")+SUMIFS('11. Distribution Log'!$W$7:$W$46,'11. Distribution Log'!$C$7:$C$46,$D42,'11. Distribution Log'!$AI$7:$AI$46,"Q7"))=0,"",SUMIFS('10. Activity Data Log'!$U$7:$U$46,'10. Activity Data Log'!$C$7:$C$46,$D42,'10. Activity Data Log'!$AD$7:$AD$46,"Q7")+SUMIFS('11. Distribution Log'!$W$7:$W$46,'11. Distribution Log'!$C$7:$C$46,$D42,'11. Distribution Log'!$AI$7:$AI$46,"Q7")),"")</f>
        <v/>
      </c>
      <c r="AC42" s="72" t="str">
        <f aca="false">IFERROR(IF((SUMIFS('10. Activity Data Log'!$U$7:$U$46,'10. Activity Data Log'!$C$7:$C$46,$D42,'10. Activity Data Log'!$AD$7:$AD$46,"Q8")+SUMIFS('11. Distribution Log'!$W$7:$W$46,'11. Distribution Log'!$C$7:$C$46,$D42,'11. Distribution Log'!$AI$7:$AI$46,"Q8"))=0,"",SUMIFS('10. Activity Data Log'!$U$7:$U$46,'10. Activity Data Log'!$C$7:$C$46,$D42,'10. Activity Data Log'!$AD$7:$AD$46,"Q8")+SUMIFS('11. Distribution Log'!$W$7:$W$46,'11. Distribution Log'!$C$7:$C$46,$D42,'11. Distribution Log'!$AI$7:$AI$46,"Q8")),"")</f>
        <v/>
      </c>
      <c r="AD42" s="68" t="str">
        <f aca="false">IFERROR(IF(SUMPRODUCT((COLUMN(N42:U42)-COLUMN(N42)+1&lt;='7. IPTT'!$C$3)*N(N42:U42))=0,"",SUMPRODUCT((COLUMN(V42:AC42)-COLUMN(V42)+1&lt;='7. IPTT'!$C$3)*N(V42:AC42))/SUMPRODUCT((COLUMN(N42:U42)-COLUMN(N42)+1&lt;='7. IPTT'!$C$3)*N(N42:U42))),"")</f>
        <v/>
      </c>
      <c r="AE42" s="22" t="str">
        <f aca="false">IFERROR(IF(AD42="","No data yet",IF(AD42&gt;=0.9,"On Track",IF(AD42&gt;=0.7,"Slightly Behind","Behind"))),"")</f>
        <v>No data yet</v>
      </c>
      <c r="AF42" s="16" t="s">
        <v>1254</v>
      </c>
      <c r="AG42" s="16" t="s">
        <v>1254</v>
      </c>
      <c r="AH42" s="73" t="n">
        <v>7658.46</v>
      </c>
      <c r="AI42" s="74" t="n">
        <v>1095159.78</v>
      </c>
      <c r="AJ42" s="16" t="str">
        <f aca="false">IFERROR(IF(COUNTIF('10. Activity Data Log'!$C$7:$C$46,$D42)=0,"No Data Log entries yet",COUNTIF('10. Activity Data Log'!$C$7:$C$46,$D42)&amp;" entries logged, avg "&amp;TEXT(AVERAGEIF('10. Activity Data Log'!$C$7:$C$46,$D42,'10. Activity Data Log'!$AB$7:$AB$46),"0%")&amp;" of target"),"")</f>
        <v>No Data Log entries yet</v>
      </c>
      <c r="AK42" s="16" t="str">
        <f aca="false">IFERROR(IF(OR(J42="",J42="-"),"During [reporting period], FIVDB delivered: "&amp;E42&amp;" (target: "&amp;I42&amp;"). Source: "&amp;AM42&amp;".","During [reporting period], FIVDB delivered: "&amp;E42&amp;" (target: "&amp;I42&amp;"), contributing to indicator '"&amp;IFERROR(INDEX('7. IPTT'!$F$15:$F$37,MATCH(IF(ISNUMBER(FIND(",",J42)),TRIM(LEFT(J42,FIND(",",J42)-1)),TRIM(J42)),'7. IPTT'!$C$15:$C$37,0)),"")&amp;"' ("&amp;J42&amp;"). Source: "&amp;AM42&amp;"."),"During [reporting period], FIVDB delivered: "&amp;E42&amp;".")</f>
        <v>During [reporting period], FIVDB delivered: Hold bi-monthly CESG meetings (7-8 members per CESG, 1 CESG per 2 CBLFs). (target: 204 persons, 12 sessions/2yrs), contributing to indicator '% of beneficiaries reporting that humanitarian assistance is delivered in a safe, accessible, accountable and participatory manner' (SO-I1). Source: FIVDB Detailed Budget, rows 122-123 (Bi-monthly CESG meetings, snacks).</v>
      </c>
      <c r="AL42" s="16" t="s">
        <v>1246</v>
      </c>
      <c r="AM42" s="16" t="s">
        <v>1261</v>
      </c>
      <c r="AN42" s="22" t="s">
        <v>197</v>
      </c>
      <c r="AO42" s="16" t="s">
        <v>1262</v>
      </c>
    </row>
    <row r="43" customFormat="false" ht="99" hidden="false" customHeight="true" outlineLevel="0" collapsed="false">
      <c r="B43" s="22" t="s">
        <v>825</v>
      </c>
      <c r="C43" s="22" t="s">
        <v>1250</v>
      </c>
      <c r="D43" s="22" t="s">
        <v>663</v>
      </c>
      <c r="E43" s="16" t="s">
        <v>664</v>
      </c>
      <c r="F43" s="16"/>
      <c r="G43" s="16" t="s">
        <v>1243</v>
      </c>
      <c r="H43" s="16" t="s">
        <v>1103</v>
      </c>
      <c r="I43" s="16" t="s">
        <v>1263</v>
      </c>
      <c r="J43" s="22" t="s">
        <v>180</v>
      </c>
      <c r="K43" s="16" t="s">
        <v>1259</v>
      </c>
      <c r="L43" s="22" t="n">
        <v>1224</v>
      </c>
      <c r="M43" s="22" t="s">
        <v>1260</v>
      </c>
      <c r="N43" s="49"/>
      <c r="O43" s="49"/>
      <c r="P43" s="49"/>
      <c r="Q43" s="49"/>
      <c r="R43" s="49"/>
      <c r="S43" s="49"/>
      <c r="T43" s="49"/>
      <c r="U43" s="49"/>
      <c r="V43" s="72" t="str">
        <f aca="false">IFERROR(IF((SUMIFS('10. Activity Data Log'!$U$7:$U$46,'10. Activity Data Log'!$C$7:$C$46,$D43,'10. Activity Data Log'!$AD$7:$AD$46,"Q1")+SUMIFS('11. Distribution Log'!$W$7:$W$46,'11. Distribution Log'!$C$7:$C$46,$D43,'11. Distribution Log'!$AI$7:$AI$46,"Q1"))=0,"",SUMIFS('10. Activity Data Log'!$U$7:$U$46,'10. Activity Data Log'!$C$7:$C$46,$D43,'10. Activity Data Log'!$AD$7:$AD$46,"Q1")+SUMIFS('11. Distribution Log'!$W$7:$W$46,'11. Distribution Log'!$C$7:$C$46,$D43,'11. Distribution Log'!$AI$7:$AI$46,"Q1")),"")</f>
        <v/>
      </c>
      <c r="W43" s="72" t="str">
        <f aca="false">IFERROR(IF((SUMIFS('10. Activity Data Log'!$U$7:$U$46,'10. Activity Data Log'!$C$7:$C$46,$D43,'10. Activity Data Log'!$AD$7:$AD$46,"Q2")+SUMIFS('11. Distribution Log'!$W$7:$W$46,'11. Distribution Log'!$C$7:$C$46,$D43,'11. Distribution Log'!$AI$7:$AI$46,"Q2"))=0,"",SUMIFS('10. Activity Data Log'!$U$7:$U$46,'10. Activity Data Log'!$C$7:$C$46,$D43,'10. Activity Data Log'!$AD$7:$AD$46,"Q2")+SUMIFS('11. Distribution Log'!$W$7:$W$46,'11. Distribution Log'!$C$7:$C$46,$D43,'11. Distribution Log'!$AI$7:$AI$46,"Q2")),"")</f>
        <v/>
      </c>
      <c r="X43" s="72" t="str">
        <f aca="false">IFERROR(IF((SUMIFS('10. Activity Data Log'!$U$7:$U$46,'10. Activity Data Log'!$C$7:$C$46,$D43,'10. Activity Data Log'!$AD$7:$AD$46,"Q3")+SUMIFS('11. Distribution Log'!$W$7:$W$46,'11. Distribution Log'!$C$7:$C$46,$D43,'11. Distribution Log'!$AI$7:$AI$46,"Q3"))=0,"",SUMIFS('10. Activity Data Log'!$U$7:$U$46,'10. Activity Data Log'!$C$7:$C$46,$D43,'10. Activity Data Log'!$AD$7:$AD$46,"Q3")+SUMIFS('11. Distribution Log'!$W$7:$W$46,'11. Distribution Log'!$C$7:$C$46,$D43,'11. Distribution Log'!$AI$7:$AI$46,"Q3")),"")</f>
        <v/>
      </c>
      <c r="Y43" s="72" t="str">
        <f aca="false">IFERROR(IF((SUMIFS('10. Activity Data Log'!$U$7:$U$46,'10. Activity Data Log'!$C$7:$C$46,$D43,'10. Activity Data Log'!$AD$7:$AD$46,"Q4")+SUMIFS('11. Distribution Log'!$W$7:$W$46,'11. Distribution Log'!$C$7:$C$46,$D43,'11. Distribution Log'!$AI$7:$AI$46,"Q4"))=0,"",SUMIFS('10. Activity Data Log'!$U$7:$U$46,'10. Activity Data Log'!$C$7:$C$46,$D43,'10. Activity Data Log'!$AD$7:$AD$46,"Q4")+SUMIFS('11. Distribution Log'!$W$7:$W$46,'11. Distribution Log'!$C$7:$C$46,$D43,'11. Distribution Log'!$AI$7:$AI$46,"Q4")),"")</f>
        <v/>
      </c>
      <c r="Z43" s="72" t="str">
        <f aca="false">IFERROR(IF((SUMIFS('10. Activity Data Log'!$U$7:$U$46,'10. Activity Data Log'!$C$7:$C$46,$D43,'10. Activity Data Log'!$AD$7:$AD$46,"Q5")+SUMIFS('11. Distribution Log'!$W$7:$W$46,'11. Distribution Log'!$C$7:$C$46,$D43,'11. Distribution Log'!$AI$7:$AI$46,"Q5"))=0,"",SUMIFS('10. Activity Data Log'!$U$7:$U$46,'10. Activity Data Log'!$C$7:$C$46,$D43,'10. Activity Data Log'!$AD$7:$AD$46,"Q5")+SUMIFS('11. Distribution Log'!$W$7:$W$46,'11. Distribution Log'!$C$7:$C$46,$D43,'11. Distribution Log'!$AI$7:$AI$46,"Q5")),"")</f>
        <v/>
      </c>
      <c r="AA43" s="72" t="str">
        <f aca="false">IFERROR(IF((SUMIFS('10. Activity Data Log'!$U$7:$U$46,'10. Activity Data Log'!$C$7:$C$46,$D43,'10. Activity Data Log'!$AD$7:$AD$46,"Q6")+SUMIFS('11. Distribution Log'!$W$7:$W$46,'11. Distribution Log'!$C$7:$C$46,$D43,'11. Distribution Log'!$AI$7:$AI$46,"Q6"))=0,"",SUMIFS('10. Activity Data Log'!$U$7:$U$46,'10. Activity Data Log'!$C$7:$C$46,$D43,'10. Activity Data Log'!$AD$7:$AD$46,"Q6")+SUMIFS('11. Distribution Log'!$W$7:$W$46,'11. Distribution Log'!$C$7:$C$46,$D43,'11. Distribution Log'!$AI$7:$AI$46,"Q6")),"")</f>
        <v/>
      </c>
      <c r="AB43" s="72" t="str">
        <f aca="false">IFERROR(IF((SUMIFS('10. Activity Data Log'!$U$7:$U$46,'10. Activity Data Log'!$C$7:$C$46,$D43,'10. Activity Data Log'!$AD$7:$AD$46,"Q7")+SUMIFS('11. Distribution Log'!$W$7:$W$46,'11. Distribution Log'!$C$7:$C$46,$D43,'11. Distribution Log'!$AI$7:$AI$46,"Q7"))=0,"",SUMIFS('10. Activity Data Log'!$U$7:$U$46,'10. Activity Data Log'!$C$7:$C$46,$D43,'10. Activity Data Log'!$AD$7:$AD$46,"Q7")+SUMIFS('11. Distribution Log'!$W$7:$W$46,'11. Distribution Log'!$C$7:$C$46,$D43,'11. Distribution Log'!$AI$7:$AI$46,"Q7")),"")</f>
        <v/>
      </c>
      <c r="AC43" s="72" t="str">
        <f aca="false">IFERROR(IF((SUMIFS('10. Activity Data Log'!$U$7:$U$46,'10. Activity Data Log'!$C$7:$C$46,$D43,'10. Activity Data Log'!$AD$7:$AD$46,"Q8")+SUMIFS('11. Distribution Log'!$W$7:$W$46,'11. Distribution Log'!$C$7:$C$46,$D43,'11. Distribution Log'!$AI$7:$AI$46,"Q8"))=0,"",SUMIFS('10. Activity Data Log'!$U$7:$U$46,'10. Activity Data Log'!$C$7:$C$46,$D43,'10. Activity Data Log'!$AD$7:$AD$46,"Q8")+SUMIFS('11. Distribution Log'!$W$7:$W$46,'11. Distribution Log'!$C$7:$C$46,$D43,'11. Distribution Log'!$AI$7:$AI$46,"Q8")),"")</f>
        <v/>
      </c>
      <c r="AD43" s="68" t="str">
        <f aca="false">IFERROR(IF(SUMPRODUCT((COLUMN(N43:U43)-COLUMN(N43)+1&lt;='7. IPTT'!$C$3)*N(N43:U43))=0,"",SUMPRODUCT((COLUMN(V43:AC43)-COLUMN(V43)+1&lt;='7. IPTT'!$C$3)*N(V43:AC43))/SUMPRODUCT((COLUMN(N43:U43)-COLUMN(N43)+1&lt;='7. IPTT'!$C$3)*N(N43:U43))),"")</f>
        <v/>
      </c>
      <c r="AE43" s="22" t="str">
        <f aca="false">IFERROR(IF(AD43="","No data yet",IF(AD43&gt;=0.9,"On Track",IF(AD43&gt;=0.7,"Slightly Behind","Behind"))),"")</f>
        <v>No data yet</v>
      </c>
      <c r="AF43" s="16" t="s">
        <v>1254</v>
      </c>
      <c r="AG43" s="16" t="s">
        <v>1254</v>
      </c>
      <c r="AH43" s="73" t="n">
        <v>7658.46</v>
      </c>
      <c r="AI43" s="74" t="n">
        <v>1095159.78</v>
      </c>
      <c r="AJ43" s="16" t="str">
        <f aca="false">IFERROR(IF(COUNTIF('10. Activity Data Log'!$C$7:$C$46,$D43)=0,"No Data Log entries yet",COUNTIF('10. Activity Data Log'!$C$7:$C$46,$D43)&amp;" entries logged, avg "&amp;TEXT(AVERAGEIF('10. Activity Data Log'!$C$7:$C$46,$D43,'10. Activity Data Log'!$AB$7:$AB$46),"0%")&amp;" of target"),"")</f>
        <v>No Data Log entries yet</v>
      </c>
      <c r="AK43" s="16" t="str">
        <f aca="false">IFERROR(IF(OR(J43="",J43="-"),"During [reporting period], FIVDB delivered: "&amp;E43&amp;" (target: "&amp;I43&amp;"). Source: "&amp;AM43&amp;".","During [reporting period], FIVDB delivered: "&amp;E43&amp;" (target: "&amp;I43&amp;"), contributing to indicator '"&amp;IFERROR(INDEX('7. IPTT'!$F$15:$F$37,MATCH(IF(ISNUMBER(FIND(",",J43)),TRIM(LEFT(J43,FIND(",",J43)-1)),TRIM(J43)),'7. IPTT'!$C$15:$C$37,0)),"")&amp;"' ("&amp;J43&amp;"). Source: "&amp;AM43&amp;"."),"During [reporting period], FIVDB delivered: "&amp;E43&amp;".")</f>
        <v>During [reporting period], FIVDB delivered: Hold bi-monthly parent/caregiver engagement meetings (1 parent per enrolled child). (target: 1,224 persons, 12 sessions/2yrs), contributing to indicator '% of beneficiaries reporting that humanitarian assistance is delivered in a safe, accessible, accountable and participatory manner' (SO-I1). Source: FIVDB Detailed Budget, rows 126-127 (Bi-monthly parent meetings, snacks).</v>
      </c>
      <c r="AL43" s="16" t="s">
        <v>1246</v>
      </c>
      <c r="AM43" s="16" t="s">
        <v>1264</v>
      </c>
      <c r="AN43" s="22" t="s">
        <v>197</v>
      </c>
      <c r="AO43" s="16" t="s">
        <v>1265</v>
      </c>
    </row>
    <row r="44" customFormat="false" ht="19.5" hidden="false" customHeight="true" outlineLevel="0" collapsed="false">
      <c r="B44" s="66" t="s">
        <v>1266</v>
      </c>
      <c r="C44" s="66"/>
      <c r="D44" s="66"/>
      <c r="E44" s="66"/>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row>
    <row r="45" customFormat="false" ht="99" hidden="false" customHeight="true" outlineLevel="0" collapsed="false">
      <c r="B45" s="22" t="s">
        <v>941</v>
      </c>
      <c r="C45" s="22" t="s">
        <v>300</v>
      </c>
      <c r="D45" s="22" t="s">
        <v>666</v>
      </c>
      <c r="E45" s="16" t="s">
        <v>667</v>
      </c>
      <c r="F45" s="16"/>
      <c r="G45" s="16" t="s">
        <v>1112</v>
      </c>
      <c r="H45" s="16" t="s">
        <v>1103</v>
      </c>
      <c r="I45" s="16" t="s">
        <v>1267</v>
      </c>
      <c r="J45" s="22" t="s">
        <v>958</v>
      </c>
      <c r="K45" s="16" t="s">
        <v>1268</v>
      </c>
      <c r="L45" s="22" t="n">
        <v>12</v>
      </c>
      <c r="M45" s="22" t="s">
        <v>1197</v>
      </c>
      <c r="N45" s="49"/>
      <c r="O45" s="49"/>
      <c r="P45" s="49"/>
      <c r="Q45" s="49"/>
      <c r="R45" s="49"/>
      <c r="S45" s="49"/>
      <c r="T45" s="49"/>
      <c r="U45" s="49"/>
      <c r="V45" s="72" t="str">
        <f aca="false">IFERROR(IF((SUMIFS('10. Activity Data Log'!$U$7:$U$46,'10. Activity Data Log'!$C$7:$C$46,$D45,'10. Activity Data Log'!$AD$7:$AD$46,"Q1")+SUMIFS('11. Distribution Log'!$W$7:$W$46,'11. Distribution Log'!$C$7:$C$46,$D45,'11. Distribution Log'!$AI$7:$AI$46,"Q1"))=0,"",SUMIFS('10. Activity Data Log'!$U$7:$U$46,'10. Activity Data Log'!$C$7:$C$46,$D45,'10. Activity Data Log'!$AD$7:$AD$46,"Q1")+SUMIFS('11. Distribution Log'!$W$7:$W$46,'11. Distribution Log'!$C$7:$C$46,$D45,'11. Distribution Log'!$AI$7:$AI$46,"Q1")),"")</f>
        <v/>
      </c>
      <c r="W45" s="72" t="str">
        <f aca="false">IFERROR(IF((SUMIFS('10. Activity Data Log'!$U$7:$U$46,'10. Activity Data Log'!$C$7:$C$46,$D45,'10. Activity Data Log'!$AD$7:$AD$46,"Q2")+SUMIFS('11. Distribution Log'!$W$7:$W$46,'11. Distribution Log'!$C$7:$C$46,$D45,'11. Distribution Log'!$AI$7:$AI$46,"Q2"))=0,"",SUMIFS('10. Activity Data Log'!$U$7:$U$46,'10. Activity Data Log'!$C$7:$C$46,$D45,'10. Activity Data Log'!$AD$7:$AD$46,"Q2")+SUMIFS('11. Distribution Log'!$W$7:$W$46,'11. Distribution Log'!$C$7:$C$46,$D45,'11. Distribution Log'!$AI$7:$AI$46,"Q2")),"")</f>
        <v/>
      </c>
      <c r="X45" s="72" t="str">
        <f aca="false">IFERROR(IF((SUMIFS('10. Activity Data Log'!$U$7:$U$46,'10. Activity Data Log'!$C$7:$C$46,$D45,'10. Activity Data Log'!$AD$7:$AD$46,"Q3")+SUMIFS('11. Distribution Log'!$W$7:$W$46,'11. Distribution Log'!$C$7:$C$46,$D45,'11. Distribution Log'!$AI$7:$AI$46,"Q3"))=0,"",SUMIFS('10. Activity Data Log'!$U$7:$U$46,'10. Activity Data Log'!$C$7:$C$46,$D45,'10. Activity Data Log'!$AD$7:$AD$46,"Q3")+SUMIFS('11. Distribution Log'!$W$7:$W$46,'11. Distribution Log'!$C$7:$C$46,$D45,'11. Distribution Log'!$AI$7:$AI$46,"Q3")),"")</f>
        <v/>
      </c>
      <c r="Y45" s="72" t="str">
        <f aca="false">IFERROR(IF((SUMIFS('10. Activity Data Log'!$U$7:$U$46,'10. Activity Data Log'!$C$7:$C$46,$D45,'10. Activity Data Log'!$AD$7:$AD$46,"Q4")+SUMIFS('11. Distribution Log'!$W$7:$W$46,'11. Distribution Log'!$C$7:$C$46,$D45,'11. Distribution Log'!$AI$7:$AI$46,"Q4"))=0,"",SUMIFS('10. Activity Data Log'!$U$7:$U$46,'10. Activity Data Log'!$C$7:$C$46,$D45,'10. Activity Data Log'!$AD$7:$AD$46,"Q4")+SUMIFS('11. Distribution Log'!$W$7:$W$46,'11. Distribution Log'!$C$7:$C$46,$D45,'11. Distribution Log'!$AI$7:$AI$46,"Q4")),"")</f>
        <v/>
      </c>
      <c r="Z45" s="72" t="str">
        <f aca="false">IFERROR(IF((SUMIFS('10. Activity Data Log'!$U$7:$U$46,'10. Activity Data Log'!$C$7:$C$46,$D45,'10. Activity Data Log'!$AD$7:$AD$46,"Q5")+SUMIFS('11. Distribution Log'!$W$7:$W$46,'11. Distribution Log'!$C$7:$C$46,$D45,'11. Distribution Log'!$AI$7:$AI$46,"Q5"))=0,"",SUMIFS('10. Activity Data Log'!$U$7:$U$46,'10. Activity Data Log'!$C$7:$C$46,$D45,'10. Activity Data Log'!$AD$7:$AD$46,"Q5")+SUMIFS('11. Distribution Log'!$W$7:$W$46,'11. Distribution Log'!$C$7:$C$46,$D45,'11. Distribution Log'!$AI$7:$AI$46,"Q5")),"")</f>
        <v/>
      </c>
      <c r="AA45" s="72" t="str">
        <f aca="false">IFERROR(IF((SUMIFS('10. Activity Data Log'!$U$7:$U$46,'10. Activity Data Log'!$C$7:$C$46,$D45,'10. Activity Data Log'!$AD$7:$AD$46,"Q6")+SUMIFS('11. Distribution Log'!$W$7:$W$46,'11. Distribution Log'!$C$7:$C$46,$D45,'11. Distribution Log'!$AI$7:$AI$46,"Q6"))=0,"",SUMIFS('10. Activity Data Log'!$U$7:$U$46,'10. Activity Data Log'!$C$7:$C$46,$D45,'10. Activity Data Log'!$AD$7:$AD$46,"Q6")+SUMIFS('11. Distribution Log'!$W$7:$W$46,'11. Distribution Log'!$C$7:$C$46,$D45,'11. Distribution Log'!$AI$7:$AI$46,"Q6")),"")</f>
        <v/>
      </c>
      <c r="AB45" s="72" t="str">
        <f aca="false">IFERROR(IF((SUMIFS('10. Activity Data Log'!$U$7:$U$46,'10. Activity Data Log'!$C$7:$C$46,$D45,'10. Activity Data Log'!$AD$7:$AD$46,"Q7")+SUMIFS('11. Distribution Log'!$W$7:$W$46,'11. Distribution Log'!$C$7:$C$46,$D45,'11. Distribution Log'!$AI$7:$AI$46,"Q7"))=0,"",SUMIFS('10. Activity Data Log'!$U$7:$U$46,'10. Activity Data Log'!$C$7:$C$46,$D45,'10. Activity Data Log'!$AD$7:$AD$46,"Q7")+SUMIFS('11. Distribution Log'!$W$7:$W$46,'11. Distribution Log'!$C$7:$C$46,$D45,'11. Distribution Log'!$AI$7:$AI$46,"Q7")),"")</f>
        <v/>
      </c>
      <c r="AC45" s="72" t="str">
        <f aca="false">IFERROR(IF((SUMIFS('10. Activity Data Log'!$U$7:$U$46,'10. Activity Data Log'!$C$7:$C$46,$D45,'10. Activity Data Log'!$AD$7:$AD$46,"Q8")+SUMIFS('11. Distribution Log'!$W$7:$W$46,'11. Distribution Log'!$C$7:$C$46,$D45,'11. Distribution Log'!$AI$7:$AI$46,"Q8"))=0,"",SUMIFS('10. Activity Data Log'!$U$7:$U$46,'10. Activity Data Log'!$C$7:$C$46,$D45,'10. Activity Data Log'!$AD$7:$AD$46,"Q8")+SUMIFS('11. Distribution Log'!$W$7:$W$46,'11. Distribution Log'!$C$7:$C$46,$D45,'11. Distribution Log'!$AI$7:$AI$46,"Q8")),"")</f>
        <v/>
      </c>
      <c r="AD45" s="68" t="str">
        <f aca="false">IFERROR(IF(SUMPRODUCT((COLUMN(N45:U45)-COLUMN(N45)+1&lt;='7. IPTT'!$C$3)*N(N45:U45))=0,"",SUMPRODUCT((COLUMN(V45:AC45)-COLUMN(V45)+1&lt;='7. IPTT'!$C$3)*N(V45:AC45))/SUMPRODUCT((COLUMN(N45:U45)-COLUMN(N45)+1&lt;='7. IPTT'!$C$3)*N(N45:U45))),"")</f>
        <v/>
      </c>
      <c r="AE45" s="22" t="str">
        <f aca="false">IFERROR(IF(AD45="","No data yet",IF(AD45&gt;=0.9,"On Track",IF(AD45&gt;=0.7,"Slightly Behind","Behind"))),"")</f>
        <v>No data yet</v>
      </c>
      <c r="AF45" s="16" t="s">
        <v>1269</v>
      </c>
      <c r="AG45" s="16" t="s">
        <v>1269</v>
      </c>
      <c r="AH45" s="73" t="n">
        <v>13727.27</v>
      </c>
      <c r="AI45" s="74" t="n">
        <v>1962999.61</v>
      </c>
      <c r="AJ45" s="16" t="str">
        <f aca="false">IFERROR(IF(COUNTIF('10. Activity Data Log'!$C$7:$C$46,$D45)=0,"No Data Log entries yet",COUNTIF('10. Activity Data Log'!$C$7:$C$46,$D45)&amp;" entries logged, avg "&amp;TEXT(AVERAGEIF('10. Activity Data Log'!$C$7:$C$46,$D45,'10. Activity Data Log'!$AB$7:$AB$46),"0%")&amp;" of target"),"")</f>
        <v>No Data Log entries yet</v>
      </c>
      <c r="AK45" s="16" t="str">
        <f aca="false">IFERROR(IF(OR(J45="",J45="-"),"During [reporting period], FIVDB delivered: "&amp;E45&amp;" (target: "&amp;I45&amp;"). Source: "&amp;AM45&amp;".","During [reporting period], FIVDB delivered: "&amp;E45&amp;" (target: "&amp;I45&amp;"), contributing to indicator '"&amp;IFERROR(INDEX('7. IPTT'!$F$15:$F$37,MATCH(IF(ISNUMBER(FIND(",",J45)),TRIM(LEFT(J45,FIND(",",J45)-1)),TRIM(J45)),'7. IPTT'!$C$15:$C$37,0)),"")&amp;"' ("&amp;J45&amp;"). Source: "&amp;AM45&amp;"."),"During [reporting period], FIVDB delivered: "&amp;E45&amp;".")</f>
        <v>During [reporting period], FIVDB delivered: Identify and enhance the capacity of alternative-care family members (foster and kinship) for unaccompanied/separated children (UASC). (target: 12 participants, 3-day training), contributing to indicator '% of children separated from or allegedly associated with armed groups and armed forces who benefit from appropriate care and services' (R2-I2). Source: FIVDB Detailed Budget, rows 131-136 (2.1.1 Identifying and enhancing capacity of alternative care family members).</v>
      </c>
      <c r="AL45" s="16" t="s">
        <v>1270</v>
      </c>
      <c r="AM45" s="16" t="s">
        <v>1271</v>
      </c>
      <c r="AN45" s="22" t="s">
        <v>649</v>
      </c>
      <c r="AO45" s="16" t="s">
        <v>1272</v>
      </c>
    </row>
    <row r="46" customFormat="false" ht="99" hidden="false" customHeight="true" outlineLevel="0" collapsed="false">
      <c r="B46" s="22" t="s">
        <v>941</v>
      </c>
      <c r="C46" s="22" t="s">
        <v>300</v>
      </c>
      <c r="D46" s="22" t="s">
        <v>668</v>
      </c>
      <c r="E46" s="16" t="s">
        <v>669</v>
      </c>
      <c r="F46" s="16"/>
      <c r="G46" s="16" t="s">
        <v>1112</v>
      </c>
      <c r="H46" s="16" t="s">
        <v>1103</v>
      </c>
      <c r="I46" s="16" t="s">
        <v>1273</v>
      </c>
      <c r="J46" s="22" t="s">
        <v>942</v>
      </c>
      <c r="K46" s="16" t="s">
        <v>1274</v>
      </c>
      <c r="L46" s="22" t="n">
        <v>320</v>
      </c>
      <c r="M46" s="22" t="s">
        <v>1114</v>
      </c>
      <c r="N46" s="49"/>
      <c r="O46" s="49"/>
      <c r="P46" s="49"/>
      <c r="Q46" s="49"/>
      <c r="R46" s="49"/>
      <c r="S46" s="49"/>
      <c r="T46" s="49"/>
      <c r="U46" s="49"/>
      <c r="V46" s="72" t="str">
        <f aca="false">IFERROR(IF((SUMIFS('10. Activity Data Log'!$U$7:$U$46,'10. Activity Data Log'!$C$7:$C$46,$D46,'10. Activity Data Log'!$AD$7:$AD$46,"Q1")+SUMIFS('11. Distribution Log'!$W$7:$W$46,'11. Distribution Log'!$C$7:$C$46,$D46,'11. Distribution Log'!$AI$7:$AI$46,"Q1"))=0,"",SUMIFS('10. Activity Data Log'!$U$7:$U$46,'10. Activity Data Log'!$C$7:$C$46,$D46,'10. Activity Data Log'!$AD$7:$AD$46,"Q1")+SUMIFS('11. Distribution Log'!$W$7:$W$46,'11. Distribution Log'!$C$7:$C$46,$D46,'11. Distribution Log'!$AI$7:$AI$46,"Q1")),"")</f>
        <v/>
      </c>
      <c r="W46" s="72" t="str">
        <f aca="false">IFERROR(IF((SUMIFS('10. Activity Data Log'!$U$7:$U$46,'10. Activity Data Log'!$C$7:$C$46,$D46,'10. Activity Data Log'!$AD$7:$AD$46,"Q2")+SUMIFS('11. Distribution Log'!$W$7:$W$46,'11. Distribution Log'!$C$7:$C$46,$D46,'11. Distribution Log'!$AI$7:$AI$46,"Q2"))=0,"",SUMIFS('10. Activity Data Log'!$U$7:$U$46,'10. Activity Data Log'!$C$7:$C$46,$D46,'10. Activity Data Log'!$AD$7:$AD$46,"Q2")+SUMIFS('11. Distribution Log'!$W$7:$W$46,'11. Distribution Log'!$C$7:$C$46,$D46,'11. Distribution Log'!$AI$7:$AI$46,"Q2")),"")</f>
        <v/>
      </c>
      <c r="X46" s="72" t="str">
        <f aca="false">IFERROR(IF((SUMIFS('10. Activity Data Log'!$U$7:$U$46,'10. Activity Data Log'!$C$7:$C$46,$D46,'10. Activity Data Log'!$AD$7:$AD$46,"Q3")+SUMIFS('11. Distribution Log'!$W$7:$W$46,'11. Distribution Log'!$C$7:$C$46,$D46,'11. Distribution Log'!$AI$7:$AI$46,"Q3"))=0,"",SUMIFS('10. Activity Data Log'!$U$7:$U$46,'10. Activity Data Log'!$C$7:$C$46,$D46,'10. Activity Data Log'!$AD$7:$AD$46,"Q3")+SUMIFS('11. Distribution Log'!$W$7:$W$46,'11. Distribution Log'!$C$7:$C$46,$D46,'11. Distribution Log'!$AI$7:$AI$46,"Q3")),"")</f>
        <v/>
      </c>
      <c r="Y46" s="72" t="str">
        <f aca="false">IFERROR(IF((SUMIFS('10. Activity Data Log'!$U$7:$U$46,'10. Activity Data Log'!$C$7:$C$46,$D46,'10. Activity Data Log'!$AD$7:$AD$46,"Q4")+SUMIFS('11. Distribution Log'!$W$7:$W$46,'11. Distribution Log'!$C$7:$C$46,$D46,'11. Distribution Log'!$AI$7:$AI$46,"Q4"))=0,"",SUMIFS('10. Activity Data Log'!$U$7:$U$46,'10. Activity Data Log'!$C$7:$C$46,$D46,'10. Activity Data Log'!$AD$7:$AD$46,"Q4")+SUMIFS('11. Distribution Log'!$W$7:$W$46,'11. Distribution Log'!$C$7:$C$46,$D46,'11. Distribution Log'!$AI$7:$AI$46,"Q4")),"")</f>
        <v/>
      </c>
      <c r="Z46" s="72" t="str">
        <f aca="false">IFERROR(IF((SUMIFS('10. Activity Data Log'!$U$7:$U$46,'10. Activity Data Log'!$C$7:$C$46,$D46,'10. Activity Data Log'!$AD$7:$AD$46,"Q5")+SUMIFS('11. Distribution Log'!$W$7:$W$46,'11. Distribution Log'!$C$7:$C$46,$D46,'11. Distribution Log'!$AI$7:$AI$46,"Q5"))=0,"",SUMIFS('10. Activity Data Log'!$U$7:$U$46,'10. Activity Data Log'!$C$7:$C$46,$D46,'10. Activity Data Log'!$AD$7:$AD$46,"Q5")+SUMIFS('11. Distribution Log'!$W$7:$W$46,'11. Distribution Log'!$C$7:$C$46,$D46,'11. Distribution Log'!$AI$7:$AI$46,"Q5")),"")</f>
        <v/>
      </c>
      <c r="AA46" s="72" t="str">
        <f aca="false">IFERROR(IF((SUMIFS('10. Activity Data Log'!$U$7:$U$46,'10. Activity Data Log'!$C$7:$C$46,$D46,'10. Activity Data Log'!$AD$7:$AD$46,"Q6")+SUMIFS('11. Distribution Log'!$W$7:$W$46,'11. Distribution Log'!$C$7:$C$46,$D46,'11. Distribution Log'!$AI$7:$AI$46,"Q6"))=0,"",SUMIFS('10. Activity Data Log'!$U$7:$U$46,'10. Activity Data Log'!$C$7:$C$46,$D46,'10. Activity Data Log'!$AD$7:$AD$46,"Q6")+SUMIFS('11. Distribution Log'!$W$7:$W$46,'11. Distribution Log'!$C$7:$C$46,$D46,'11. Distribution Log'!$AI$7:$AI$46,"Q6")),"")</f>
        <v/>
      </c>
      <c r="AB46" s="72" t="str">
        <f aca="false">IFERROR(IF((SUMIFS('10. Activity Data Log'!$U$7:$U$46,'10. Activity Data Log'!$C$7:$C$46,$D46,'10. Activity Data Log'!$AD$7:$AD$46,"Q7")+SUMIFS('11. Distribution Log'!$W$7:$W$46,'11. Distribution Log'!$C$7:$C$46,$D46,'11. Distribution Log'!$AI$7:$AI$46,"Q7"))=0,"",SUMIFS('10. Activity Data Log'!$U$7:$U$46,'10. Activity Data Log'!$C$7:$C$46,$D46,'10. Activity Data Log'!$AD$7:$AD$46,"Q7")+SUMIFS('11. Distribution Log'!$W$7:$W$46,'11. Distribution Log'!$C$7:$C$46,$D46,'11. Distribution Log'!$AI$7:$AI$46,"Q7")),"")</f>
        <v/>
      </c>
      <c r="AC46" s="72" t="str">
        <f aca="false">IFERROR(IF((SUMIFS('10. Activity Data Log'!$U$7:$U$46,'10. Activity Data Log'!$C$7:$C$46,$D46,'10. Activity Data Log'!$AD$7:$AD$46,"Q8")+SUMIFS('11. Distribution Log'!$W$7:$W$46,'11. Distribution Log'!$C$7:$C$46,$D46,'11. Distribution Log'!$AI$7:$AI$46,"Q8"))=0,"",SUMIFS('10. Activity Data Log'!$U$7:$U$46,'10. Activity Data Log'!$C$7:$C$46,$D46,'10. Activity Data Log'!$AD$7:$AD$46,"Q8")+SUMIFS('11. Distribution Log'!$W$7:$W$46,'11. Distribution Log'!$C$7:$C$46,$D46,'11. Distribution Log'!$AI$7:$AI$46,"Q8")),"")</f>
        <v/>
      </c>
      <c r="AD46" s="68" t="str">
        <f aca="false">IFERROR(IF(SUMPRODUCT((COLUMN(N46:U46)-COLUMN(N46)+1&lt;='7. IPTT'!$C$3)*N(N46:U46))=0,"",SUMPRODUCT((COLUMN(V46:AC46)-COLUMN(V46)+1&lt;='7. IPTT'!$C$3)*N(V46:AC46))/SUMPRODUCT((COLUMN(N46:U46)-COLUMN(N46)+1&lt;='7. IPTT'!$C$3)*N(N46:U46))),"")</f>
        <v/>
      </c>
      <c r="AE46" s="22" t="str">
        <f aca="false">IFERROR(IF(AD46="","No data yet",IF(AD46&gt;=0.9,"On Track",IF(AD46&gt;=0.7,"Slightly Behind","Behind"))),"")</f>
        <v>No data yet</v>
      </c>
      <c r="AF46" s="16" t="s">
        <v>1269</v>
      </c>
      <c r="AG46" s="16" t="s">
        <v>1269</v>
      </c>
      <c r="AH46" s="73" t="n">
        <v>13727.27</v>
      </c>
      <c r="AI46" s="74" t="n">
        <v>1962999.61</v>
      </c>
      <c r="AJ46" s="16" t="str">
        <f aca="false">IFERROR(IF(COUNTIF('10. Activity Data Log'!$C$7:$C$46,$D46)=0,"No Data Log entries yet",COUNTIF('10. Activity Data Log'!$C$7:$C$46,$D46)&amp;" entries logged, avg "&amp;TEXT(AVERAGEIF('10. Activity Data Log'!$C$7:$C$46,$D46,'10. Activity Data Log'!$AB$7:$AB$46),"0%")&amp;" of target"),"")</f>
        <v>No Data Log entries yet</v>
      </c>
      <c r="AK46" s="16" t="str">
        <f aca="false">IFERROR(IF(OR(J46="",J46="-"),"During [reporting period], FIVDB delivered: "&amp;E46&amp;" (target: "&amp;I46&amp;"). Source: "&amp;AM46&amp;".","During [reporting period], FIVDB delivered: "&amp;E46&amp;" (target: "&amp;I46&amp;"), contributing to indicator '"&amp;IFERROR(INDEX('7. IPTT'!$F$15:$F$37,MATCH(IF(ISNUMBER(FIND(",",J46)),TRIM(LEFT(J46,FIND(",",J46)-1)),TRIM(J46)),'7. IPTT'!$C$15:$C$37,0)),"")&amp;"' ("&amp;J46&amp;"). Source: "&amp;AM46&amp;"."),"During [reporting period], FIVDB delivered: "&amp;E46&amp;".")</f>
        <v>During [reporting period], FIVDB delivered: Provide case-management need-based and emergency support (NFIs) to children/families in active cases. (target: 320 children, needs-based), contributing to indicator '(MANDATORY) % of children and caregivers whose urgent child protection needs/risks have been addressed through the case management process' (R2-I1). Source: FIVDB Detailed Budget, rows 137-138 (2.1.2 Case management need-based and emergency support).</v>
      </c>
      <c r="AL46" s="16" t="s">
        <v>1275</v>
      </c>
      <c r="AM46" s="16" t="s">
        <v>1276</v>
      </c>
      <c r="AN46" s="22" t="s">
        <v>649</v>
      </c>
      <c r="AO46" s="16" t="s">
        <v>1277</v>
      </c>
    </row>
    <row r="47" customFormat="false" ht="99" hidden="false" customHeight="true" outlineLevel="0" collapsed="false">
      <c r="B47" s="22" t="s">
        <v>941</v>
      </c>
      <c r="C47" s="22" t="s">
        <v>300</v>
      </c>
      <c r="D47" s="22" t="s">
        <v>670</v>
      </c>
      <c r="E47" s="16" t="s">
        <v>671</v>
      </c>
      <c r="F47" s="16"/>
      <c r="G47" s="16" t="s">
        <v>1112</v>
      </c>
      <c r="H47" s="16" t="s">
        <v>1103</v>
      </c>
      <c r="I47" s="16" t="s">
        <v>1278</v>
      </c>
      <c r="J47" s="22" t="s">
        <v>942</v>
      </c>
      <c r="K47" s="16" t="s">
        <v>1274</v>
      </c>
      <c r="L47" s="22" t="n">
        <v>4</v>
      </c>
      <c r="M47" s="22" t="s">
        <v>1279</v>
      </c>
      <c r="N47" s="49"/>
      <c r="O47" s="49"/>
      <c r="P47" s="49"/>
      <c r="Q47" s="49"/>
      <c r="R47" s="49"/>
      <c r="S47" s="49"/>
      <c r="T47" s="49"/>
      <c r="U47" s="49"/>
      <c r="V47" s="72" t="str">
        <f aca="false">IFERROR(IF((SUMIFS('10. Activity Data Log'!$U$7:$U$46,'10. Activity Data Log'!$C$7:$C$46,$D47,'10. Activity Data Log'!$AD$7:$AD$46,"Q1")+SUMIFS('11. Distribution Log'!$W$7:$W$46,'11. Distribution Log'!$C$7:$C$46,$D47,'11. Distribution Log'!$AI$7:$AI$46,"Q1"))=0,"",SUMIFS('10. Activity Data Log'!$U$7:$U$46,'10. Activity Data Log'!$C$7:$C$46,$D47,'10. Activity Data Log'!$AD$7:$AD$46,"Q1")+SUMIFS('11. Distribution Log'!$W$7:$W$46,'11. Distribution Log'!$C$7:$C$46,$D47,'11. Distribution Log'!$AI$7:$AI$46,"Q1")),"")</f>
        <v/>
      </c>
      <c r="W47" s="72" t="str">
        <f aca="false">IFERROR(IF((SUMIFS('10. Activity Data Log'!$U$7:$U$46,'10. Activity Data Log'!$C$7:$C$46,$D47,'10. Activity Data Log'!$AD$7:$AD$46,"Q2")+SUMIFS('11. Distribution Log'!$W$7:$W$46,'11. Distribution Log'!$C$7:$C$46,$D47,'11. Distribution Log'!$AI$7:$AI$46,"Q2"))=0,"",SUMIFS('10. Activity Data Log'!$U$7:$U$46,'10. Activity Data Log'!$C$7:$C$46,$D47,'10. Activity Data Log'!$AD$7:$AD$46,"Q2")+SUMIFS('11. Distribution Log'!$W$7:$W$46,'11. Distribution Log'!$C$7:$C$46,$D47,'11. Distribution Log'!$AI$7:$AI$46,"Q2")),"")</f>
        <v/>
      </c>
      <c r="X47" s="72" t="str">
        <f aca="false">IFERROR(IF((SUMIFS('10. Activity Data Log'!$U$7:$U$46,'10. Activity Data Log'!$C$7:$C$46,$D47,'10. Activity Data Log'!$AD$7:$AD$46,"Q3")+SUMIFS('11. Distribution Log'!$W$7:$W$46,'11. Distribution Log'!$C$7:$C$46,$D47,'11. Distribution Log'!$AI$7:$AI$46,"Q3"))=0,"",SUMIFS('10. Activity Data Log'!$U$7:$U$46,'10. Activity Data Log'!$C$7:$C$46,$D47,'10. Activity Data Log'!$AD$7:$AD$46,"Q3")+SUMIFS('11. Distribution Log'!$W$7:$W$46,'11. Distribution Log'!$C$7:$C$46,$D47,'11. Distribution Log'!$AI$7:$AI$46,"Q3")),"")</f>
        <v/>
      </c>
      <c r="Y47" s="72" t="str">
        <f aca="false">IFERROR(IF((SUMIFS('10. Activity Data Log'!$U$7:$U$46,'10. Activity Data Log'!$C$7:$C$46,$D47,'10. Activity Data Log'!$AD$7:$AD$46,"Q4")+SUMIFS('11. Distribution Log'!$W$7:$W$46,'11. Distribution Log'!$C$7:$C$46,$D47,'11. Distribution Log'!$AI$7:$AI$46,"Q4"))=0,"",SUMIFS('10. Activity Data Log'!$U$7:$U$46,'10. Activity Data Log'!$C$7:$C$46,$D47,'10. Activity Data Log'!$AD$7:$AD$46,"Q4")+SUMIFS('11. Distribution Log'!$W$7:$W$46,'11. Distribution Log'!$C$7:$C$46,$D47,'11. Distribution Log'!$AI$7:$AI$46,"Q4")),"")</f>
        <v/>
      </c>
      <c r="Z47" s="72" t="str">
        <f aca="false">IFERROR(IF((SUMIFS('10. Activity Data Log'!$U$7:$U$46,'10. Activity Data Log'!$C$7:$C$46,$D47,'10. Activity Data Log'!$AD$7:$AD$46,"Q5")+SUMIFS('11. Distribution Log'!$W$7:$W$46,'11. Distribution Log'!$C$7:$C$46,$D47,'11. Distribution Log'!$AI$7:$AI$46,"Q5"))=0,"",SUMIFS('10. Activity Data Log'!$U$7:$U$46,'10. Activity Data Log'!$C$7:$C$46,$D47,'10. Activity Data Log'!$AD$7:$AD$46,"Q5")+SUMIFS('11. Distribution Log'!$W$7:$W$46,'11. Distribution Log'!$C$7:$C$46,$D47,'11. Distribution Log'!$AI$7:$AI$46,"Q5")),"")</f>
        <v/>
      </c>
      <c r="AA47" s="72" t="str">
        <f aca="false">IFERROR(IF((SUMIFS('10. Activity Data Log'!$U$7:$U$46,'10. Activity Data Log'!$C$7:$C$46,$D47,'10. Activity Data Log'!$AD$7:$AD$46,"Q6")+SUMIFS('11. Distribution Log'!$W$7:$W$46,'11. Distribution Log'!$C$7:$C$46,$D47,'11. Distribution Log'!$AI$7:$AI$46,"Q6"))=0,"",SUMIFS('10. Activity Data Log'!$U$7:$U$46,'10. Activity Data Log'!$C$7:$C$46,$D47,'10. Activity Data Log'!$AD$7:$AD$46,"Q6")+SUMIFS('11. Distribution Log'!$W$7:$W$46,'11. Distribution Log'!$C$7:$C$46,$D47,'11. Distribution Log'!$AI$7:$AI$46,"Q6")),"")</f>
        <v/>
      </c>
      <c r="AB47" s="72" t="str">
        <f aca="false">IFERROR(IF((SUMIFS('10. Activity Data Log'!$U$7:$U$46,'10. Activity Data Log'!$C$7:$C$46,$D47,'10. Activity Data Log'!$AD$7:$AD$46,"Q7")+SUMIFS('11. Distribution Log'!$W$7:$W$46,'11. Distribution Log'!$C$7:$C$46,$D47,'11. Distribution Log'!$AI$7:$AI$46,"Q7"))=0,"",SUMIFS('10. Activity Data Log'!$U$7:$U$46,'10. Activity Data Log'!$C$7:$C$46,$D47,'10. Activity Data Log'!$AD$7:$AD$46,"Q7")+SUMIFS('11. Distribution Log'!$W$7:$W$46,'11. Distribution Log'!$C$7:$C$46,$D47,'11. Distribution Log'!$AI$7:$AI$46,"Q7")),"")</f>
        <v/>
      </c>
      <c r="AC47" s="72" t="str">
        <f aca="false">IFERROR(IF((SUMIFS('10. Activity Data Log'!$U$7:$U$46,'10. Activity Data Log'!$C$7:$C$46,$D47,'10. Activity Data Log'!$AD$7:$AD$46,"Q8")+SUMIFS('11. Distribution Log'!$W$7:$W$46,'11. Distribution Log'!$C$7:$C$46,$D47,'11. Distribution Log'!$AI$7:$AI$46,"Q8"))=0,"",SUMIFS('10. Activity Data Log'!$U$7:$U$46,'10. Activity Data Log'!$C$7:$C$46,$D47,'10. Activity Data Log'!$AD$7:$AD$46,"Q8")+SUMIFS('11. Distribution Log'!$W$7:$W$46,'11. Distribution Log'!$C$7:$C$46,$D47,'11. Distribution Log'!$AI$7:$AI$46,"Q8")),"")</f>
        <v/>
      </c>
      <c r="AD47" s="68" t="str">
        <f aca="false">IFERROR(IF(SUMPRODUCT((COLUMN(N47:U47)-COLUMN(N47)+1&lt;='7. IPTT'!$C$3)*N(N47:U47))=0,"",SUMPRODUCT((COLUMN(V47:AC47)-COLUMN(V47)+1&lt;='7. IPTT'!$C$3)*N(V47:AC47))/SUMPRODUCT((COLUMN(N47:U47)-COLUMN(N47)+1&lt;='7. IPTT'!$C$3)*N(N47:U47))),"")</f>
        <v/>
      </c>
      <c r="AE47" s="22" t="str">
        <f aca="false">IFERROR(IF(AD47="","No data yet",IF(AD47&gt;=0.9,"On Track",IF(AD47&gt;=0.7,"Slightly Behind","Behind"))),"")</f>
        <v>No data yet</v>
      </c>
      <c r="AF47" s="16" t="s">
        <v>1269</v>
      </c>
      <c r="AG47" s="16" t="s">
        <v>1269</v>
      </c>
      <c r="AH47" s="73" t="n">
        <v>13727.27</v>
      </c>
      <c r="AI47" s="74" t="n">
        <v>1962999.61</v>
      </c>
      <c r="AJ47" s="16" t="str">
        <f aca="false">IFERROR(IF(COUNTIF('10. Activity Data Log'!$C$7:$C$46,$D47)=0,"No Data Log entries yet",COUNTIF('10. Activity Data Log'!$C$7:$C$46,$D47)&amp;" entries logged, avg "&amp;TEXT(AVERAGEIF('10. Activity Data Log'!$C$7:$C$46,$D47,'10. Activity Data Log'!$AB$7:$AB$46),"0%")&amp;" of target"),"")</f>
        <v>No Data Log entries yet</v>
      </c>
      <c r="AK47" s="16" t="str">
        <f aca="false">IFERROR(IF(OR(J47="",J47="-"),"During [reporting period], FIVDB delivered: "&amp;E47&amp;" (target: "&amp;I47&amp;"). Source: "&amp;AM47&amp;".","During [reporting period], FIVDB delivered: "&amp;E47&amp;" (target: "&amp;I47&amp;"), contributing to indicator '"&amp;IFERROR(INDEX('7. IPTT'!$F$15:$F$37,MATCH(IF(ISNUMBER(FIND(",",J47)),TRIM(LEFT(J47,FIND(",",J47)-1)),TRIM(J47)),'7. IPTT'!$C$15:$C$37,0)),"")&amp;"' ("&amp;J47&amp;"). Source: "&amp;AM47&amp;"."),"During [reporting period], FIVDB delivered: "&amp;E47&amp;".")</f>
        <v>During [reporting period], FIVDB delivered: Maintain functioning Case Management Offices (1 per camp). (target: 4 camps, one-time set-up + running), contributing to indicator '(MANDATORY) % of children and caregivers whose urgent child protection needs/risks have been addressed through the case management process' (R2-I1). Source: FIVDB Detailed Budget, row 139 (2.1.3 Case Management Office functioning and running costs).</v>
      </c>
      <c r="AL47" s="16" t="s">
        <v>1280</v>
      </c>
      <c r="AM47" s="16" t="s">
        <v>1281</v>
      </c>
      <c r="AN47" s="22" t="s">
        <v>649</v>
      </c>
      <c r="AO47" s="16" t="s">
        <v>1282</v>
      </c>
    </row>
    <row r="48" customFormat="false" ht="99" hidden="false" customHeight="true" outlineLevel="0" collapsed="false">
      <c r="B48" s="22" t="s">
        <v>941</v>
      </c>
      <c r="C48" s="22" t="s">
        <v>300</v>
      </c>
      <c r="D48" s="22" t="s">
        <v>672</v>
      </c>
      <c r="E48" s="16" t="s">
        <v>673</v>
      </c>
      <c r="F48" s="16"/>
      <c r="G48" s="16" t="s">
        <v>1112</v>
      </c>
      <c r="H48" s="16" t="s">
        <v>1103</v>
      </c>
      <c r="I48" s="16" t="s">
        <v>1283</v>
      </c>
      <c r="J48" s="22" t="s">
        <v>942</v>
      </c>
      <c r="K48" s="16" t="s">
        <v>1274</v>
      </c>
      <c r="L48" s="22" t="n">
        <v>320</v>
      </c>
      <c r="M48" s="22" t="s">
        <v>1114</v>
      </c>
      <c r="N48" s="49"/>
      <c r="O48" s="49"/>
      <c r="P48" s="49"/>
      <c r="Q48" s="49"/>
      <c r="R48" s="49"/>
      <c r="S48" s="49"/>
      <c r="T48" s="49"/>
      <c r="U48" s="49"/>
      <c r="V48" s="72" t="str">
        <f aca="false">IFERROR(IF((SUMIFS('10. Activity Data Log'!$U$7:$U$46,'10. Activity Data Log'!$C$7:$C$46,$D48,'10. Activity Data Log'!$AD$7:$AD$46,"Q1")+SUMIFS('11. Distribution Log'!$W$7:$W$46,'11. Distribution Log'!$C$7:$C$46,$D48,'11. Distribution Log'!$AI$7:$AI$46,"Q1"))=0,"",SUMIFS('10. Activity Data Log'!$U$7:$U$46,'10. Activity Data Log'!$C$7:$C$46,$D48,'10. Activity Data Log'!$AD$7:$AD$46,"Q1")+SUMIFS('11. Distribution Log'!$W$7:$W$46,'11. Distribution Log'!$C$7:$C$46,$D48,'11. Distribution Log'!$AI$7:$AI$46,"Q1")),"")</f>
        <v/>
      </c>
      <c r="W48" s="72" t="str">
        <f aca="false">IFERROR(IF((SUMIFS('10. Activity Data Log'!$U$7:$U$46,'10. Activity Data Log'!$C$7:$C$46,$D48,'10. Activity Data Log'!$AD$7:$AD$46,"Q2")+SUMIFS('11. Distribution Log'!$W$7:$W$46,'11. Distribution Log'!$C$7:$C$46,$D48,'11. Distribution Log'!$AI$7:$AI$46,"Q2"))=0,"",SUMIFS('10. Activity Data Log'!$U$7:$U$46,'10. Activity Data Log'!$C$7:$C$46,$D48,'10. Activity Data Log'!$AD$7:$AD$46,"Q2")+SUMIFS('11. Distribution Log'!$W$7:$W$46,'11. Distribution Log'!$C$7:$C$46,$D48,'11. Distribution Log'!$AI$7:$AI$46,"Q2")),"")</f>
        <v/>
      </c>
      <c r="X48" s="72" t="str">
        <f aca="false">IFERROR(IF((SUMIFS('10. Activity Data Log'!$U$7:$U$46,'10. Activity Data Log'!$C$7:$C$46,$D48,'10. Activity Data Log'!$AD$7:$AD$46,"Q3")+SUMIFS('11. Distribution Log'!$W$7:$W$46,'11. Distribution Log'!$C$7:$C$46,$D48,'11. Distribution Log'!$AI$7:$AI$46,"Q3"))=0,"",SUMIFS('10. Activity Data Log'!$U$7:$U$46,'10. Activity Data Log'!$C$7:$C$46,$D48,'10. Activity Data Log'!$AD$7:$AD$46,"Q3")+SUMIFS('11. Distribution Log'!$W$7:$W$46,'11. Distribution Log'!$C$7:$C$46,$D48,'11. Distribution Log'!$AI$7:$AI$46,"Q3")),"")</f>
        <v/>
      </c>
      <c r="Y48" s="72" t="str">
        <f aca="false">IFERROR(IF((SUMIFS('10. Activity Data Log'!$U$7:$U$46,'10. Activity Data Log'!$C$7:$C$46,$D48,'10. Activity Data Log'!$AD$7:$AD$46,"Q4")+SUMIFS('11. Distribution Log'!$W$7:$W$46,'11. Distribution Log'!$C$7:$C$46,$D48,'11. Distribution Log'!$AI$7:$AI$46,"Q4"))=0,"",SUMIFS('10. Activity Data Log'!$U$7:$U$46,'10. Activity Data Log'!$C$7:$C$46,$D48,'10. Activity Data Log'!$AD$7:$AD$46,"Q4")+SUMIFS('11. Distribution Log'!$W$7:$W$46,'11. Distribution Log'!$C$7:$C$46,$D48,'11. Distribution Log'!$AI$7:$AI$46,"Q4")),"")</f>
        <v/>
      </c>
      <c r="Z48" s="72" t="str">
        <f aca="false">IFERROR(IF((SUMIFS('10. Activity Data Log'!$U$7:$U$46,'10. Activity Data Log'!$C$7:$C$46,$D48,'10. Activity Data Log'!$AD$7:$AD$46,"Q5")+SUMIFS('11. Distribution Log'!$W$7:$W$46,'11. Distribution Log'!$C$7:$C$46,$D48,'11. Distribution Log'!$AI$7:$AI$46,"Q5"))=0,"",SUMIFS('10. Activity Data Log'!$U$7:$U$46,'10. Activity Data Log'!$C$7:$C$46,$D48,'10. Activity Data Log'!$AD$7:$AD$46,"Q5")+SUMIFS('11. Distribution Log'!$W$7:$W$46,'11. Distribution Log'!$C$7:$C$46,$D48,'11. Distribution Log'!$AI$7:$AI$46,"Q5")),"")</f>
        <v/>
      </c>
      <c r="AA48" s="72" t="str">
        <f aca="false">IFERROR(IF((SUMIFS('10. Activity Data Log'!$U$7:$U$46,'10. Activity Data Log'!$C$7:$C$46,$D48,'10. Activity Data Log'!$AD$7:$AD$46,"Q6")+SUMIFS('11. Distribution Log'!$W$7:$W$46,'11. Distribution Log'!$C$7:$C$46,$D48,'11. Distribution Log'!$AI$7:$AI$46,"Q6"))=0,"",SUMIFS('10. Activity Data Log'!$U$7:$U$46,'10. Activity Data Log'!$C$7:$C$46,$D48,'10. Activity Data Log'!$AD$7:$AD$46,"Q6")+SUMIFS('11. Distribution Log'!$W$7:$W$46,'11. Distribution Log'!$C$7:$C$46,$D48,'11. Distribution Log'!$AI$7:$AI$46,"Q6")),"")</f>
        <v/>
      </c>
      <c r="AB48" s="72" t="str">
        <f aca="false">IFERROR(IF((SUMIFS('10. Activity Data Log'!$U$7:$U$46,'10. Activity Data Log'!$C$7:$C$46,$D48,'10. Activity Data Log'!$AD$7:$AD$46,"Q7")+SUMIFS('11. Distribution Log'!$W$7:$W$46,'11. Distribution Log'!$C$7:$C$46,$D48,'11. Distribution Log'!$AI$7:$AI$46,"Q7"))=0,"",SUMIFS('10. Activity Data Log'!$U$7:$U$46,'10. Activity Data Log'!$C$7:$C$46,$D48,'10. Activity Data Log'!$AD$7:$AD$46,"Q7")+SUMIFS('11. Distribution Log'!$W$7:$W$46,'11. Distribution Log'!$C$7:$C$46,$D48,'11. Distribution Log'!$AI$7:$AI$46,"Q7")),"")</f>
        <v/>
      </c>
      <c r="AC48" s="72" t="str">
        <f aca="false">IFERROR(IF((SUMIFS('10. Activity Data Log'!$U$7:$U$46,'10. Activity Data Log'!$C$7:$C$46,$D48,'10. Activity Data Log'!$AD$7:$AD$46,"Q8")+SUMIFS('11. Distribution Log'!$W$7:$W$46,'11. Distribution Log'!$C$7:$C$46,$D48,'11. Distribution Log'!$AI$7:$AI$46,"Q8"))=0,"",SUMIFS('10. Activity Data Log'!$U$7:$U$46,'10. Activity Data Log'!$C$7:$C$46,$D48,'10. Activity Data Log'!$AD$7:$AD$46,"Q8")+SUMIFS('11. Distribution Log'!$W$7:$W$46,'11. Distribution Log'!$C$7:$C$46,$D48,'11. Distribution Log'!$AI$7:$AI$46,"Q8")),"")</f>
        <v/>
      </c>
      <c r="AD48" s="68" t="str">
        <f aca="false">IFERROR(IF(SUMPRODUCT((COLUMN(N48:U48)-COLUMN(N48)+1&lt;='7. IPTT'!$C$3)*N(N48:U48))=0,"",SUMPRODUCT((COLUMN(V48:AC48)-COLUMN(V48)+1&lt;='7. IPTT'!$C$3)*N(V48:AC48))/SUMPRODUCT((COLUMN(N48:U48)-COLUMN(N48)+1&lt;='7. IPTT'!$C$3)*N(N48:U48))),"")</f>
        <v/>
      </c>
      <c r="AE48" s="22" t="str">
        <f aca="false">IFERROR(IF(AD48="","No data yet",IF(AD48&gt;=0.9,"On Track",IF(AD48&gt;=0.7,"Slightly Behind","Behind"))),"")</f>
        <v>No data yet</v>
      </c>
      <c r="AF48" s="16" t="s">
        <v>1269</v>
      </c>
      <c r="AG48" s="16" t="s">
        <v>1269</v>
      </c>
      <c r="AH48" s="73" t="n">
        <v>13727.27</v>
      </c>
      <c r="AI48" s="74" t="n">
        <v>1962999.61</v>
      </c>
      <c r="AJ48" s="16" t="str">
        <f aca="false">IFERROR(IF(COUNTIF('10. Activity Data Log'!$C$7:$C$46,$D48)=0,"No Data Log entries yet",COUNTIF('10. Activity Data Log'!$C$7:$C$46,$D48)&amp;" entries logged, avg "&amp;TEXT(AVERAGEIF('10. Activity Data Log'!$C$7:$C$46,$D48,'10. Activity Data Log'!$AB$7:$AB$46),"0%")&amp;" of target"),"")</f>
        <v>No Data Log entries yet</v>
      </c>
      <c r="AK48" s="16" t="str">
        <f aca="false">IFERROR(IF(OR(J48="",J48="-"),"During [reporting period], FIVDB delivered: "&amp;E48&amp;" (target: "&amp;I48&amp;"). Source: "&amp;AM48&amp;".","During [reporting period], FIVDB delivered: "&amp;E48&amp;" (target: "&amp;I48&amp;"), contributing to indicator '"&amp;IFERROR(INDEX('7. IPTT'!$F$15:$F$37,MATCH(IF(ISNUMBER(FIND(",",J48)),TRIM(LEFT(J48,FIND(",",J48)-1)),TRIM(J48)),'7. IPTT'!$C$15:$C$37,0)),"")&amp;"' ("&amp;J48&amp;"). Source: "&amp;AM48&amp;"."),"During [reporting period], FIVDB delivered: "&amp;E48&amp;".")</f>
        <v>During [reporting period], FIVDB delivered: Deliver case management services per the CPMS 7-step process (non-budgetary - covered by CM Officer/volunteer time). (target: 320 children caseload), contributing to indicator '(MANDATORY) % of children and caregivers whose urgent child protection needs/risks have been addressed through the case management process' (R2-I1). Source: FIVDB Detailed Budget, row 140 (2.1.4 Case Management Services - non-budgetary).</v>
      </c>
      <c r="AL48" s="16" t="s">
        <v>965</v>
      </c>
      <c r="AM48" s="16" t="s">
        <v>1284</v>
      </c>
      <c r="AN48" s="22" t="s">
        <v>674</v>
      </c>
      <c r="AO48" s="16" t="s">
        <v>1285</v>
      </c>
    </row>
    <row r="49" customFormat="false" ht="99" hidden="false" customHeight="true" outlineLevel="0" collapsed="false">
      <c r="B49" s="22" t="s">
        <v>941</v>
      </c>
      <c r="C49" s="22" t="s">
        <v>300</v>
      </c>
      <c r="D49" s="22" t="s">
        <v>675</v>
      </c>
      <c r="E49" s="16" t="s">
        <v>676</v>
      </c>
      <c r="F49" s="16"/>
      <c r="G49" s="16" t="s">
        <v>1286</v>
      </c>
      <c r="H49" s="16" t="s">
        <v>1103</v>
      </c>
      <c r="I49" s="16" t="s">
        <v>1287</v>
      </c>
      <c r="J49" s="22" t="s">
        <v>972</v>
      </c>
      <c r="K49" s="16" t="s">
        <v>1288</v>
      </c>
      <c r="L49" s="22" t="n">
        <v>20</v>
      </c>
      <c r="M49" s="22" t="s">
        <v>1197</v>
      </c>
      <c r="N49" s="49"/>
      <c r="O49" s="49"/>
      <c r="P49" s="49"/>
      <c r="Q49" s="49"/>
      <c r="R49" s="49"/>
      <c r="S49" s="49"/>
      <c r="T49" s="49"/>
      <c r="U49" s="49"/>
      <c r="V49" s="72" t="str">
        <f aca="false">IFERROR(IF((SUMIFS('10. Activity Data Log'!$U$7:$U$46,'10. Activity Data Log'!$C$7:$C$46,$D49,'10. Activity Data Log'!$AD$7:$AD$46,"Q1")+SUMIFS('11. Distribution Log'!$W$7:$W$46,'11. Distribution Log'!$C$7:$C$46,$D49,'11. Distribution Log'!$AI$7:$AI$46,"Q1"))=0,"",SUMIFS('10. Activity Data Log'!$U$7:$U$46,'10. Activity Data Log'!$C$7:$C$46,$D49,'10. Activity Data Log'!$AD$7:$AD$46,"Q1")+SUMIFS('11. Distribution Log'!$W$7:$W$46,'11. Distribution Log'!$C$7:$C$46,$D49,'11. Distribution Log'!$AI$7:$AI$46,"Q1")),"")</f>
        <v/>
      </c>
      <c r="W49" s="72" t="str">
        <f aca="false">IFERROR(IF((SUMIFS('10. Activity Data Log'!$U$7:$U$46,'10. Activity Data Log'!$C$7:$C$46,$D49,'10. Activity Data Log'!$AD$7:$AD$46,"Q2")+SUMIFS('11. Distribution Log'!$W$7:$W$46,'11. Distribution Log'!$C$7:$C$46,$D49,'11. Distribution Log'!$AI$7:$AI$46,"Q2"))=0,"",SUMIFS('10. Activity Data Log'!$U$7:$U$46,'10. Activity Data Log'!$C$7:$C$46,$D49,'10. Activity Data Log'!$AD$7:$AD$46,"Q2")+SUMIFS('11. Distribution Log'!$W$7:$W$46,'11. Distribution Log'!$C$7:$C$46,$D49,'11. Distribution Log'!$AI$7:$AI$46,"Q2")),"")</f>
        <v/>
      </c>
      <c r="X49" s="72" t="str">
        <f aca="false">IFERROR(IF((SUMIFS('10. Activity Data Log'!$U$7:$U$46,'10. Activity Data Log'!$C$7:$C$46,$D49,'10. Activity Data Log'!$AD$7:$AD$46,"Q3")+SUMIFS('11. Distribution Log'!$W$7:$W$46,'11. Distribution Log'!$C$7:$C$46,$D49,'11. Distribution Log'!$AI$7:$AI$46,"Q3"))=0,"",SUMIFS('10. Activity Data Log'!$U$7:$U$46,'10. Activity Data Log'!$C$7:$C$46,$D49,'10. Activity Data Log'!$AD$7:$AD$46,"Q3")+SUMIFS('11. Distribution Log'!$W$7:$W$46,'11. Distribution Log'!$C$7:$C$46,$D49,'11. Distribution Log'!$AI$7:$AI$46,"Q3")),"")</f>
        <v/>
      </c>
      <c r="Y49" s="72" t="str">
        <f aca="false">IFERROR(IF((SUMIFS('10. Activity Data Log'!$U$7:$U$46,'10. Activity Data Log'!$C$7:$C$46,$D49,'10. Activity Data Log'!$AD$7:$AD$46,"Q4")+SUMIFS('11. Distribution Log'!$W$7:$W$46,'11. Distribution Log'!$C$7:$C$46,$D49,'11. Distribution Log'!$AI$7:$AI$46,"Q4"))=0,"",SUMIFS('10. Activity Data Log'!$U$7:$U$46,'10. Activity Data Log'!$C$7:$C$46,$D49,'10. Activity Data Log'!$AD$7:$AD$46,"Q4")+SUMIFS('11. Distribution Log'!$W$7:$W$46,'11. Distribution Log'!$C$7:$C$46,$D49,'11. Distribution Log'!$AI$7:$AI$46,"Q4")),"")</f>
        <v/>
      </c>
      <c r="Z49" s="72" t="str">
        <f aca="false">IFERROR(IF((SUMIFS('10. Activity Data Log'!$U$7:$U$46,'10. Activity Data Log'!$C$7:$C$46,$D49,'10. Activity Data Log'!$AD$7:$AD$46,"Q5")+SUMIFS('11. Distribution Log'!$W$7:$W$46,'11. Distribution Log'!$C$7:$C$46,$D49,'11. Distribution Log'!$AI$7:$AI$46,"Q5"))=0,"",SUMIFS('10. Activity Data Log'!$U$7:$U$46,'10. Activity Data Log'!$C$7:$C$46,$D49,'10. Activity Data Log'!$AD$7:$AD$46,"Q5")+SUMIFS('11. Distribution Log'!$W$7:$W$46,'11. Distribution Log'!$C$7:$C$46,$D49,'11. Distribution Log'!$AI$7:$AI$46,"Q5")),"")</f>
        <v/>
      </c>
      <c r="AA49" s="72" t="str">
        <f aca="false">IFERROR(IF((SUMIFS('10. Activity Data Log'!$U$7:$U$46,'10. Activity Data Log'!$C$7:$C$46,$D49,'10. Activity Data Log'!$AD$7:$AD$46,"Q6")+SUMIFS('11. Distribution Log'!$W$7:$W$46,'11. Distribution Log'!$C$7:$C$46,$D49,'11. Distribution Log'!$AI$7:$AI$46,"Q6"))=0,"",SUMIFS('10. Activity Data Log'!$U$7:$U$46,'10. Activity Data Log'!$C$7:$C$46,$D49,'10. Activity Data Log'!$AD$7:$AD$46,"Q6")+SUMIFS('11. Distribution Log'!$W$7:$W$46,'11. Distribution Log'!$C$7:$C$46,$D49,'11. Distribution Log'!$AI$7:$AI$46,"Q6")),"")</f>
        <v/>
      </c>
      <c r="AB49" s="72" t="str">
        <f aca="false">IFERROR(IF((SUMIFS('10. Activity Data Log'!$U$7:$U$46,'10. Activity Data Log'!$C$7:$C$46,$D49,'10. Activity Data Log'!$AD$7:$AD$46,"Q7")+SUMIFS('11. Distribution Log'!$W$7:$W$46,'11. Distribution Log'!$C$7:$C$46,$D49,'11. Distribution Log'!$AI$7:$AI$46,"Q7"))=0,"",SUMIFS('10. Activity Data Log'!$U$7:$U$46,'10. Activity Data Log'!$C$7:$C$46,$D49,'10. Activity Data Log'!$AD$7:$AD$46,"Q7")+SUMIFS('11. Distribution Log'!$W$7:$W$46,'11. Distribution Log'!$C$7:$C$46,$D49,'11. Distribution Log'!$AI$7:$AI$46,"Q7")),"")</f>
        <v/>
      </c>
      <c r="AC49" s="72" t="str">
        <f aca="false">IFERROR(IF((SUMIFS('10. Activity Data Log'!$U$7:$U$46,'10. Activity Data Log'!$C$7:$C$46,$D49,'10. Activity Data Log'!$AD$7:$AD$46,"Q8")+SUMIFS('11. Distribution Log'!$W$7:$W$46,'11. Distribution Log'!$C$7:$C$46,$D49,'11. Distribution Log'!$AI$7:$AI$46,"Q8"))=0,"",SUMIFS('10. Activity Data Log'!$U$7:$U$46,'10. Activity Data Log'!$C$7:$C$46,$D49,'10. Activity Data Log'!$AD$7:$AD$46,"Q8")+SUMIFS('11. Distribution Log'!$W$7:$W$46,'11. Distribution Log'!$C$7:$C$46,$D49,'11. Distribution Log'!$AI$7:$AI$46,"Q8")),"")</f>
        <v/>
      </c>
      <c r="AD49" s="68" t="str">
        <f aca="false">IFERROR(IF(SUMPRODUCT((COLUMN(N49:U49)-COLUMN(N49)+1&lt;='7. IPTT'!$C$3)*N(N49:U49))=0,"",SUMPRODUCT((COLUMN(V49:AC49)-COLUMN(V49)+1&lt;='7. IPTT'!$C$3)*N(V49:AC49))/SUMPRODUCT((COLUMN(N49:U49)-COLUMN(N49)+1&lt;='7. IPTT'!$C$3)*N(N49:U49))),"")</f>
        <v/>
      </c>
      <c r="AE49" s="22" t="str">
        <f aca="false">IFERROR(IF(AD49="","No data yet",IF(AD49&gt;=0.9,"On Track",IF(AD49&gt;=0.7,"Slightly Behind","Behind"))),"")</f>
        <v>No data yet</v>
      </c>
      <c r="AF49" s="16" t="s">
        <v>1269</v>
      </c>
      <c r="AG49" s="16" t="s">
        <v>1269</v>
      </c>
      <c r="AH49" s="73" t="n">
        <v>13727.27</v>
      </c>
      <c r="AI49" s="74" t="n">
        <v>1962999.61</v>
      </c>
      <c r="AJ49" s="16" t="str">
        <f aca="false">IFERROR(IF(COUNTIF('10. Activity Data Log'!$C$7:$C$46,$D49)=0,"No Data Log entries yet",COUNTIF('10. Activity Data Log'!$C$7:$C$46,$D49)&amp;" entries logged, avg "&amp;TEXT(AVERAGEIF('10. Activity Data Log'!$C$7:$C$46,$D49,'10. Activity Data Log'!$AB$7:$AB$46),"0%")&amp;" of target"),"")</f>
        <v>No Data Log entries yet</v>
      </c>
      <c r="AK49" s="16" t="str">
        <f aca="false">IFERROR(IF(OR(J49="",J49="-"),"During [reporting period], FIVDB delivered: "&amp;E49&amp;" (target: "&amp;I49&amp;"). Source: "&amp;AM49&amp;".","During [reporting period], FIVDB delivered: "&amp;E49&amp;" (target: "&amp;I49&amp;"), contributing to indicator '"&amp;IFERROR(INDEX('7. IPTT'!$F$15:$F$37,MATCH(IF(ISNUMBER(FIND(",",J49)),TRIM(LEFT(J49,FIND(",",J49)-1)),TRIM(J49)),'7. IPTT'!$C$15:$C$37,0)),"")&amp;"' ("&amp;J49&amp;"). Source: "&amp;AM49&amp;"."),"During [reporting period], FIVDB delivered: "&amp;E49&amp;".")</f>
        <v>During [reporting period], FIVDB delivered: Train para-social workers, volunteers and facilitators on referral pathways. (target: 20 participants, 1 day), contributing to indicator 'Average % knowledge increase amongst participants on the protection subject in focus' (R2-I3). Source: FIVDB Detailed Budget, rows 141-143 (2.1.5 Training for para-social workers and volunteers on referral pathways).</v>
      </c>
      <c r="AL49" s="16" t="s">
        <v>1199</v>
      </c>
      <c r="AM49" s="16" t="s">
        <v>1289</v>
      </c>
      <c r="AN49" s="22" t="s">
        <v>649</v>
      </c>
      <c r="AO49" s="16" t="s">
        <v>1290</v>
      </c>
    </row>
    <row r="50" customFormat="false" ht="99" hidden="false" customHeight="true" outlineLevel="0" collapsed="false">
      <c r="B50" s="22" t="s">
        <v>941</v>
      </c>
      <c r="C50" s="22" t="s">
        <v>300</v>
      </c>
      <c r="D50" s="22" t="s">
        <v>677</v>
      </c>
      <c r="E50" s="16" t="s">
        <v>678</v>
      </c>
      <c r="F50" s="16"/>
      <c r="G50" s="16" t="s">
        <v>1112</v>
      </c>
      <c r="H50" s="16" t="s">
        <v>1103</v>
      </c>
      <c r="I50" s="16" t="s">
        <v>1291</v>
      </c>
      <c r="J50" s="22" t="s">
        <v>942</v>
      </c>
      <c r="K50" s="16" t="s">
        <v>1274</v>
      </c>
      <c r="L50" s="22" t="n">
        <v>8</v>
      </c>
      <c r="M50" s="22" t="s">
        <v>1128</v>
      </c>
      <c r="N50" s="49"/>
      <c r="O50" s="49"/>
      <c r="P50" s="49"/>
      <c r="Q50" s="49"/>
      <c r="R50" s="49"/>
      <c r="S50" s="49"/>
      <c r="T50" s="49"/>
      <c r="U50" s="49"/>
      <c r="V50" s="72" t="str">
        <f aca="false">IFERROR(IF((SUMIFS('10. Activity Data Log'!$U$7:$U$46,'10. Activity Data Log'!$C$7:$C$46,$D50,'10. Activity Data Log'!$AD$7:$AD$46,"Q1")+SUMIFS('11. Distribution Log'!$W$7:$W$46,'11. Distribution Log'!$C$7:$C$46,$D50,'11. Distribution Log'!$AI$7:$AI$46,"Q1"))=0,"",SUMIFS('10. Activity Data Log'!$U$7:$U$46,'10. Activity Data Log'!$C$7:$C$46,$D50,'10. Activity Data Log'!$AD$7:$AD$46,"Q1")+SUMIFS('11. Distribution Log'!$W$7:$W$46,'11. Distribution Log'!$C$7:$C$46,$D50,'11. Distribution Log'!$AI$7:$AI$46,"Q1")),"")</f>
        <v/>
      </c>
      <c r="W50" s="72" t="str">
        <f aca="false">IFERROR(IF((SUMIFS('10. Activity Data Log'!$U$7:$U$46,'10. Activity Data Log'!$C$7:$C$46,$D50,'10. Activity Data Log'!$AD$7:$AD$46,"Q2")+SUMIFS('11. Distribution Log'!$W$7:$W$46,'11. Distribution Log'!$C$7:$C$46,$D50,'11. Distribution Log'!$AI$7:$AI$46,"Q2"))=0,"",SUMIFS('10. Activity Data Log'!$U$7:$U$46,'10. Activity Data Log'!$C$7:$C$46,$D50,'10. Activity Data Log'!$AD$7:$AD$46,"Q2")+SUMIFS('11. Distribution Log'!$W$7:$W$46,'11. Distribution Log'!$C$7:$C$46,$D50,'11. Distribution Log'!$AI$7:$AI$46,"Q2")),"")</f>
        <v/>
      </c>
      <c r="X50" s="72" t="str">
        <f aca="false">IFERROR(IF((SUMIFS('10. Activity Data Log'!$U$7:$U$46,'10. Activity Data Log'!$C$7:$C$46,$D50,'10. Activity Data Log'!$AD$7:$AD$46,"Q3")+SUMIFS('11. Distribution Log'!$W$7:$W$46,'11. Distribution Log'!$C$7:$C$46,$D50,'11. Distribution Log'!$AI$7:$AI$46,"Q3"))=0,"",SUMIFS('10. Activity Data Log'!$U$7:$U$46,'10. Activity Data Log'!$C$7:$C$46,$D50,'10. Activity Data Log'!$AD$7:$AD$46,"Q3")+SUMIFS('11. Distribution Log'!$W$7:$W$46,'11. Distribution Log'!$C$7:$C$46,$D50,'11. Distribution Log'!$AI$7:$AI$46,"Q3")),"")</f>
        <v/>
      </c>
      <c r="Y50" s="72" t="str">
        <f aca="false">IFERROR(IF((SUMIFS('10. Activity Data Log'!$U$7:$U$46,'10. Activity Data Log'!$C$7:$C$46,$D50,'10. Activity Data Log'!$AD$7:$AD$46,"Q4")+SUMIFS('11. Distribution Log'!$W$7:$W$46,'11. Distribution Log'!$C$7:$C$46,$D50,'11. Distribution Log'!$AI$7:$AI$46,"Q4"))=0,"",SUMIFS('10. Activity Data Log'!$U$7:$U$46,'10. Activity Data Log'!$C$7:$C$46,$D50,'10. Activity Data Log'!$AD$7:$AD$46,"Q4")+SUMIFS('11. Distribution Log'!$W$7:$W$46,'11. Distribution Log'!$C$7:$C$46,$D50,'11. Distribution Log'!$AI$7:$AI$46,"Q4")),"")</f>
        <v/>
      </c>
      <c r="Z50" s="72" t="str">
        <f aca="false">IFERROR(IF((SUMIFS('10. Activity Data Log'!$U$7:$U$46,'10. Activity Data Log'!$C$7:$C$46,$D50,'10. Activity Data Log'!$AD$7:$AD$46,"Q5")+SUMIFS('11. Distribution Log'!$W$7:$W$46,'11. Distribution Log'!$C$7:$C$46,$D50,'11. Distribution Log'!$AI$7:$AI$46,"Q5"))=0,"",SUMIFS('10. Activity Data Log'!$U$7:$U$46,'10. Activity Data Log'!$C$7:$C$46,$D50,'10. Activity Data Log'!$AD$7:$AD$46,"Q5")+SUMIFS('11. Distribution Log'!$W$7:$W$46,'11. Distribution Log'!$C$7:$C$46,$D50,'11. Distribution Log'!$AI$7:$AI$46,"Q5")),"")</f>
        <v/>
      </c>
      <c r="AA50" s="72" t="str">
        <f aca="false">IFERROR(IF((SUMIFS('10. Activity Data Log'!$U$7:$U$46,'10. Activity Data Log'!$C$7:$C$46,$D50,'10. Activity Data Log'!$AD$7:$AD$46,"Q6")+SUMIFS('11. Distribution Log'!$W$7:$W$46,'11. Distribution Log'!$C$7:$C$46,$D50,'11. Distribution Log'!$AI$7:$AI$46,"Q6"))=0,"",SUMIFS('10. Activity Data Log'!$U$7:$U$46,'10. Activity Data Log'!$C$7:$C$46,$D50,'10. Activity Data Log'!$AD$7:$AD$46,"Q6")+SUMIFS('11. Distribution Log'!$W$7:$W$46,'11. Distribution Log'!$C$7:$C$46,$D50,'11. Distribution Log'!$AI$7:$AI$46,"Q6")),"")</f>
        <v/>
      </c>
      <c r="AB50" s="72" t="str">
        <f aca="false">IFERROR(IF((SUMIFS('10. Activity Data Log'!$U$7:$U$46,'10. Activity Data Log'!$C$7:$C$46,$D50,'10. Activity Data Log'!$AD$7:$AD$46,"Q7")+SUMIFS('11. Distribution Log'!$W$7:$W$46,'11. Distribution Log'!$C$7:$C$46,$D50,'11. Distribution Log'!$AI$7:$AI$46,"Q7"))=0,"",SUMIFS('10. Activity Data Log'!$U$7:$U$46,'10. Activity Data Log'!$C$7:$C$46,$D50,'10. Activity Data Log'!$AD$7:$AD$46,"Q7")+SUMIFS('11. Distribution Log'!$W$7:$W$46,'11. Distribution Log'!$C$7:$C$46,$D50,'11. Distribution Log'!$AI$7:$AI$46,"Q7")),"")</f>
        <v/>
      </c>
      <c r="AC50" s="72" t="str">
        <f aca="false">IFERROR(IF((SUMIFS('10. Activity Data Log'!$U$7:$U$46,'10. Activity Data Log'!$C$7:$C$46,$D50,'10. Activity Data Log'!$AD$7:$AD$46,"Q8")+SUMIFS('11. Distribution Log'!$W$7:$W$46,'11. Distribution Log'!$C$7:$C$46,$D50,'11. Distribution Log'!$AI$7:$AI$46,"Q8"))=0,"",SUMIFS('10. Activity Data Log'!$U$7:$U$46,'10. Activity Data Log'!$C$7:$C$46,$D50,'10. Activity Data Log'!$AD$7:$AD$46,"Q8")+SUMIFS('11. Distribution Log'!$W$7:$W$46,'11. Distribution Log'!$C$7:$C$46,$D50,'11. Distribution Log'!$AI$7:$AI$46,"Q8")),"")</f>
        <v/>
      </c>
      <c r="AD50" s="68" t="str">
        <f aca="false">IFERROR(IF(SUMPRODUCT((COLUMN(N50:U50)-COLUMN(N50)+1&lt;='7. IPTT'!$C$3)*N(N50:U50))=0,"",SUMPRODUCT((COLUMN(V50:AC50)-COLUMN(V50)+1&lt;='7. IPTT'!$C$3)*N(V50:AC50))/SUMPRODUCT((COLUMN(N50:U50)-COLUMN(N50)+1&lt;='7. IPTT'!$C$3)*N(N50:U50))),"")</f>
        <v/>
      </c>
      <c r="AE50" s="22" t="str">
        <f aca="false">IFERROR(IF(AD50="","No data yet",IF(AD50&gt;=0.9,"On Track",IF(AD50&gt;=0.7,"Slightly Behind","Behind"))),"")</f>
        <v>No data yet</v>
      </c>
      <c r="AF50" s="16" t="s">
        <v>1269</v>
      </c>
      <c r="AG50" s="16" t="s">
        <v>1269</v>
      </c>
      <c r="AH50" s="73" t="n">
        <v>13727.27</v>
      </c>
      <c r="AI50" s="74" t="n">
        <v>1962999.61</v>
      </c>
      <c r="AJ50" s="16" t="str">
        <f aca="false">IFERROR(IF(COUNTIF('10. Activity Data Log'!$C$7:$C$46,$D50)=0,"No Data Log entries yet",COUNTIF('10. Activity Data Log'!$C$7:$C$46,$D50)&amp;" entries logged, avg "&amp;TEXT(AVERAGEIF('10. Activity Data Log'!$C$7:$C$46,$D50,'10. Activity Data Log'!$AB$7:$AB$46),"0%")&amp;" of target"),"")</f>
        <v>No Data Log entries yet</v>
      </c>
      <c r="AK50" s="16" t="str">
        <f aca="false">IFERROR(IF(OR(J50="",J50="-"),"During [reporting period], FIVDB delivered: "&amp;E50&amp;" (target: "&amp;I50&amp;"). Source: "&amp;AM50&amp;".","During [reporting period], FIVDB delivered: "&amp;E50&amp;" (target: "&amp;I50&amp;"), contributing to indicator '"&amp;IFERROR(INDEX('7. IPTT'!$F$15:$F$37,MATCH(IF(ISNUMBER(FIND(",",J50)),TRIM(LEFT(J50,FIND(",",J50)-1)),TRIM(J50)),'7. IPTT'!$C$15:$C$37,0)),"")&amp;"' ("&amp;J50&amp;"). Source: "&amp;AM50&amp;"."),"During [reporting period], FIVDB delivered: "&amp;E50&amp;".")</f>
        <v>During [reporting period], FIVDB delivered: Provide monthly incentives to case-management volunteers (2 per camp, all refugees) for identification and referral. (target: 8 volunteers x 11 months), contributing to indicator '(MANDATORY) % of children and caregivers whose urgent child protection needs/risks have been addressed through the case management process' (R2-I1). Source: FIVDB Detailed Budget, row 144 (Incentive for case management volunteers).</v>
      </c>
      <c r="AL50" s="16" t="s">
        <v>1130</v>
      </c>
      <c r="AM50" s="16" t="s">
        <v>1292</v>
      </c>
      <c r="AN50" s="22" t="s">
        <v>649</v>
      </c>
      <c r="AO50" s="16" t="s">
        <v>1293</v>
      </c>
    </row>
    <row r="51" customFormat="false" ht="111.75" hidden="false" customHeight="true" outlineLevel="0" collapsed="false">
      <c r="B51" s="22" t="s">
        <v>941</v>
      </c>
      <c r="C51" s="22" t="s">
        <v>300</v>
      </c>
      <c r="D51" s="22" t="s">
        <v>679</v>
      </c>
      <c r="E51" s="16" t="s">
        <v>680</v>
      </c>
      <c r="F51" s="16" t="s">
        <v>1294</v>
      </c>
      <c r="G51" s="16" t="s">
        <v>1137</v>
      </c>
      <c r="H51" s="16" t="s">
        <v>1103</v>
      </c>
      <c r="I51" s="16" t="s">
        <v>1295</v>
      </c>
      <c r="J51" s="22" t="s">
        <v>942</v>
      </c>
      <c r="K51" s="16" t="s">
        <v>1274</v>
      </c>
      <c r="L51" s="22" t="n">
        <v>10</v>
      </c>
      <c r="M51" s="22" t="s">
        <v>1197</v>
      </c>
      <c r="N51" s="49"/>
      <c r="O51" s="49"/>
      <c r="P51" s="49"/>
      <c r="Q51" s="49"/>
      <c r="R51" s="49"/>
      <c r="S51" s="49"/>
      <c r="T51" s="49"/>
      <c r="U51" s="49"/>
      <c r="V51" s="72" t="str">
        <f aca="false">IFERROR(IF((SUMIFS('10. Activity Data Log'!$U$7:$U$46,'10. Activity Data Log'!$C$7:$C$46,$D51,'10. Activity Data Log'!$AD$7:$AD$46,"Q1")+SUMIFS('11. Distribution Log'!$W$7:$W$46,'11. Distribution Log'!$C$7:$C$46,$D51,'11. Distribution Log'!$AI$7:$AI$46,"Q1"))=0,"",SUMIFS('10. Activity Data Log'!$U$7:$U$46,'10. Activity Data Log'!$C$7:$C$46,$D51,'10. Activity Data Log'!$AD$7:$AD$46,"Q1")+SUMIFS('11. Distribution Log'!$W$7:$W$46,'11. Distribution Log'!$C$7:$C$46,$D51,'11. Distribution Log'!$AI$7:$AI$46,"Q1")),"")</f>
        <v/>
      </c>
      <c r="W51" s="72" t="str">
        <f aca="false">IFERROR(IF((SUMIFS('10. Activity Data Log'!$U$7:$U$46,'10. Activity Data Log'!$C$7:$C$46,$D51,'10. Activity Data Log'!$AD$7:$AD$46,"Q2")+SUMIFS('11. Distribution Log'!$W$7:$W$46,'11. Distribution Log'!$C$7:$C$46,$D51,'11. Distribution Log'!$AI$7:$AI$46,"Q2"))=0,"",SUMIFS('10. Activity Data Log'!$U$7:$U$46,'10. Activity Data Log'!$C$7:$C$46,$D51,'10. Activity Data Log'!$AD$7:$AD$46,"Q2")+SUMIFS('11. Distribution Log'!$W$7:$W$46,'11. Distribution Log'!$C$7:$C$46,$D51,'11. Distribution Log'!$AI$7:$AI$46,"Q2")),"")</f>
        <v/>
      </c>
      <c r="X51" s="72" t="str">
        <f aca="false">IFERROR(IF((SUMIFS('10. Activity Data Log'!$U$7:$U$46,'10. Activity Data Log'!$C$7:$C$46,$D51,'10. Activity Data Log'!$AD$7:$AD$46,"Q3")+SUMIFS('11. Distribution Log'!$W$7:$W$46,'11. Distribution Log'!$C$7:$C$46,$D51,'11. Distribution Log'!$AI$7:$AI$46,"Q3"))=0,"",SUMIFS('10. Activity Data Log'!$U$7:$U$46,'10. Activity Data Log'!$C$7:$C$46,$D51,'10. Activity Data Log'!$AD$7:$AD$46,"Q3")+SUMIFS('11. Distribution Log'!$W$7:$W$46,'11. Distribution Log'!$C$7:$C$46,$D51,'11. Distribution Log'!$AI$7:$AI$46,"Q3")),"")</f>
        <v/>
      </c>
      <c r="Y51" s="72" t="str">
        <f aca="false">IFERROR(IF((SUMIFS('10. Activity Data Log'!$U$7:$U$46,'10. Activity Data Log'!$C$7:$C$46,$D51,'10. Activity Data Log'!$AD$7:$AD$46,"Q4")+SUMIFS('11. Distribution Log'!$W$7:$W$46,'11. Distribution Log'!$C$7:$C$46,$D51,'11. Distribution Log'!$AI$7:$AI$46,"Q4"))=0,"",SUMIFS('10. Activity Data Log'!$U$7:$U$46,'10. Activity Data Log'!$C$7:$C$46,$D51,'10. Activity Data Log'!$AD$7:$AD$46,"Q4")+SUMIFS('11. Distribution Log'!$W$7:$W$46,'11. Distribution Log'!$C$7:$C$46,$D51,'11. Distribution Log'!$AI$7:$AI$46,"Q4")),"")</f>
        <v/>
      </c>
      <c r="Z51" s="72" t="str">
        <f aca="false">IFERROR(IF((SUMIFS('10. Activity Data Log'!$U$7:$U$46,'10. Activity Data Log'!$C$7:$C$46,$D51,'10. Activity Data Log'!$AD$7:$AD$46,"Q5")+SUMIFS('11. Distribution Log'!$W$7:$W$46,'11. Distribution Log'!$C$7:$C$46,$D51,'11. Distribution Log'!$AI$7:$AI$46,"Q5"))=0,"",SUMIFS('10. Activity Data Log'!$U$7:$U$46,'10. Activity Data Log'!$C$7:$C$46,$D51,'10. Activity Data Log'!$AD$7:$AD$46,"Q5")+SUMIFS('11. Distribution Log'!$W$7:$W$46,'11. Distribution Log'!$C$7:$C$46,$D51,'11. Distribution Log'!$AI$7:$AI$46,"Q5")),"")</f>
        <v/>
      </c>
      <c r="AA51" s="72" t="str">
        <f aca="false">IFERROR(IF((SUMIFS('10. Activity Data Log'!$U$7:$U$46,'10. Activity Data Log'!$C$7:$C$46,$D51,'10. Activity Data Log'!$AD$7:$AD$46,"Q6")+SUMIFS('11. Distribution Log'!$W$7:$W$46,'11. Distribution Log'!$C$7:$C$46,$D51,'11. Distribution Log'!$AI$7:$AI$46,"Q6"))=0,"",SUMIFS('10. Activity Data Log'!$U$7:$U$46,'10. Activity Data Log'!$C$7:$C$46,$D51,'10. Activity Data Log'!$AD$7:$AD$46,"Q6")+SUMIFS('11. Distribution Log'!$W$7:$W$46,'11. Distribution Log'!$C$7:$C$46,$D51,'11. Distribution Log'!$AI$7:$AI$46,"Q6")),"")</f>
        <v/>
      </c>
      <c r="AB51" s="72" t="str">
        <f aca="false">IFERROR(IF((SUMIFS('10. Activity Data Log'!$U$7:$U$46,'10. Activity Data Log'!$C$7:$C$46,$D51,'10. Activity Data Log'!$AD$7:$AD$46,"Q7")+SUMIFS('11. Distribution Log'!$W$7:$W$46,'11. Distribution Log'!$C$7:$C$46,$D51,'11. Distribution Log'!$AI$7:$AI$46,"Q7"))=0,"",SUMIFS('10. Activity Data Log'!$U$7:$U$46,'10. Activity Data Log'!$C$7:$C$46,$D51,'10. Activity Data Log'!$AD$7:$AD$46,"Q7")+SUMIFS('11. Distribution Log'!$W$7:$W$46,'11. Distribution Log'!$C$7:$C$46,$D51,'11. Distribution Log'!$AI$7:$AI$46,"Q7")),"")</f>
        <v/>
      </c>
      <c r="AC51" s="72" t="str">
        <f aca="false">IFERROR(IF((SUMIFS('10. Activity Data Log'!$U$7:$U$46,'10. Activity Data Log'!$C$7:$C$46,$D51,'10. Activity Data Log'!$AD$7:$AD$46,"Q8")+SUMIFS('11. Distribution Log'!$W$7:$W$46,'11. Distribution Log'!$C$7:$C$46,$D51,'11. Distribution Log'!$AI$7:$AI$46,"Q8"))=0,"",SUMIFS('10. Activity Data Log'!$U$7:$U$46,'10. Activity Data Log'!$C$7:$C$46,$D51,'10. Activity Data Log'!$AD$7:$AD$46,"Q8")+SUMIFS('11. Distribution Log'!$W$7:$W$46,'11. Distribution Log'!$C$7:$C$46,$D51,'11. Distribution Log'!$AI$7:$AI$46,"Q8")),"")</f>
        <v/>
      </c>
      <c r="AD51" s="68" t="str">
        <f aca="false">IFERROR(IF(SUMPRODUCT((COLUMN(N51:U51)-COLUMN(N51)+1&lt;='7. IPTT'!$C$3)*N(N51:U51))=0,"",SUMPRODUCT((COLUMN(V51:AC51)-COLUMN(V51)+1&lt;='7. IPTT'!$C$3)*N(V51:AC51))/SUMPRODUCT((COLUMN(N51:U51)-COLUMN(N51)+1&lt;='7. IPTT'!$C$3)*N(N51:U51))),"")</f>
        <v/>
      </c>
      <c r="AE51" s="22" t="str">
        <f aca="false">IFERROR(IF(AD51="","No data yet",IF(AD51&gt;=0.9,"On Track",IF(AD51&gt;=0.7,"Slightly Behind","Behind"))),"")</f>
        <v>No data yet</v>
      </c>
      <c r="AF51" s="16" t="s">
        <v>1269</v>
      </c>
      <c r="AG51" s="16" t="s">
        <v>1269</v>
      </c>
      <c r="AH51" s="73" t="n">
        <v>13727.27</v>
      </c>
      <c r="AI51" s="74" t="n">
        <v>1962999.61</v>
      </c>
      <c r="AJ51" s="16" t="str">
        <f aca="false">IFERROR(IF(COUNTIF('10. Activity Data Log'!$C$7:$C$46,$D51)=0,"No Data Log entries yet",COUNTIF('10. Activity Data Log'!$C$7:$C$46,$D51)&amp;" entries logged, avg "&amp;TEXT(AVERAGEIF('10. Activity Data Log'!$C$7:$C$46,$D51,'10. Activity Data Log'!$AB$7:$AB$46),"0%")&amp;" of target"),"")</f>
        <v>No Data Log entries yet</v>
      </c>
      <c r="AK51" s="16" t="str">
        <f aca="false">IFERROR(IF(OR(J51="",J51="-"),"During [reporting period], FIVDB delivered: "&amp;E51&amp;" (target: "&amp;I51&amp;"). Source: "&amp;AM51&amp;".","During [reporting period], FIVDB delivered: "&amp;E51&amp;" (target: "&amp;I51&amp;"), contributing to indicator '"&amp;IFERROR(INDEX('7. IPTT'!$F$15:$F$37,MATCH(IF(ISNUMBER(FIND(",",J51)),TRIM(LEFT(J51,FIND(",",J51)-1)),TRIM(J51)),'7. IPTT'!$C$15:$C$37,0)),"")&amp;"' ("&amp;J51&amp;"). Source: "&amp;AM51&amp;"."),"During [reporting period], FIVDB delivered: "&amp;E51&amp;".")</f>
        <v>During [reporting period], FIVDB delivered: Provide support-material kits (case-worker kits) for case-management service providers. (target: 10 participants, lumpsum), contributing to indicator '(MANDATORY) % of children and caregivers whose urgent child protection needs/risks have been addressed through the case management process' (R2-I1). Source: FIVDB Detailed Budget, rows 145-146 (2.1.7 Provision of support kits for case management service providers).</v>
      </c>
      <c r="AL51" s="16" t="s">
        <v>1296</v>
      </c>
      <c r="AM51" s="16" t="s">
        <v>1297</v>
      </c>
      <c r="AN51" s="22" t="s">
        <v>649</v>
      </c>
      <c r="AO51" s="16" t="s">
        <v>1298</v>
      </c>
    </row>
    <row r="52" customFormat="false" ht="19.5" hidden="false" customHeight="true" outlineLevel="0" collapsed="false">
      <c r="B52" s="66" t="s">
        <v>1299</v>
      </c>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row>
    <row r="53" customFormat="false" ht="99" hidden="false" customHeight="true" outlineLevel="0" collapsed="false">
      <c r="B53" s="22" t="s">
        <v>941</v>
      </c>
      <c r="C53" s="22" t="s">
        <v>1300</v>
      </c>
      <c r="D53" s="22" t="s">
        <v>681</v>
      </c>
      <c r="E53" s="16" t="s">
        <v>682</v>
      </c>
      <c r="F53" s="16" t="s">
        <v>1301</v>
      </c>
      <c r="G53" s="16" t="s">
        <v>1302</v>
      </c>
      <c r="H53" s="16" t="s">
        <v>1103</v>
      </c>
      <c r="I53" s="16" t="s">
        <v>1303</v>
      </c>
      <c r="J53" s="22" t="s">
        <v>186</v>
      </c>
      <c r="K53" s="16" t="s">
        <v>1304</v>
      </c>
      <c r="L53" s="22" t="n">
        <v>4</v>
      </c>
      <c r="M53" s="22" t="s">
        <v>1155</v>
      </c>
      <c r="N53" s="49"/>
      <c r="O53" s="49"/>
      <c r="P53" s="49"/>
      <c r="Q53" s="49"/>
      <c r="R53" s="49"/>
      <c r="S53" s="49"/>
      <c r="T53" s="49"/>
      <c r="U53" s="49"/>
      <c r="V53" s="72" t="str">
        <f aca="false">IFERROR(IF((SUMIFS('10. Activity Data Log'!$U$7:$U$46,'10. Activity Data Log'!$C$7:$C$46,$D53,'10. Activity Data Log'!$AD$7:$AD$46,"Q1")+SUMIFS('11. Distribution Log'!$W$7:$W$46,'11. Distribution Log'!$C$7:$C$46,$D53,'11. Distribution Log'!$AI$7:$AI$46,"Q1"))=0,"",SUMIFS('10. Activity Data Log'!$U$7:$U$46,'10. Activity Data Log'!$C$7:$C$46,$D53,'10. Activity Data Log'!$AD$7:$AD$46,"Q1")+SUMIFS('11. Distribution Log'!$W$7:$W$46,'11. Distribution Log'!$C$7:$C$46,$D53,'11. Distribution Log'!$AI$7:$AI$46,"Q1")),"")</f>
        <v/>
      </c>
      <c r="W53" s="72" t="str">
        <f aca="false">IFERROR(IF((SUMIFS('10. Activity Data Log'!$U$7:$U$46,'10. Activity Data Log'!$C$7:$C$46,$D53,'10. Activity Data Log'!$AD$7:$AD$46,"Q2")+SUMIFS('11. Distribution Log'!$W$7:$W$46,'11. Distribution Log'!$C$7:$C$46,$D53,'11. Distribution Log'!$AI$7:$AI$46,"Q2"))=0,"",SUMIFS('10. Activity Data Log'!$U$7:$U$46,'10. Activity Data Log'!$C$7:$C$46,$D53,'10. Activity Data Log'!$AD$7:$AD$46,"Q2")+SUMIFS('11. Distribution Log'!$W$7:$W$46,'11. Distribution Log'!$C$7:$C$46,$D53,'11. Distribution Log'!$AI$7:$AI$46,"Q2")),"")</f>
        <v/>
      </c>
      <c r="X53" s="72" t="str">
        <f aca="false">IFERROR(IF((SUMIFS('10. Activity Data Log'!$U$7:$U$46,'10. Activity Data Log'!$C$7:$C$46,$D53,'10. Activity Data Log'!$AD$7:$AD$46,"Q3")+SUMIFS('11. Distribution Log'!$W$7:$W$46,'11. Distribution Log'!$C$7:$C$46,$D53,'11. Distribution Log'!$AI$7:$AI$46,"Q3"))=0,"",SUMIFS('10. Activity Data Log'!$U$7:$U$46,'10. Activity Data Log'!$C$7:$C$46,$D53,'10. Activity Data Log'!$AD$7:$AD$46,"Q3")+SUMIFS('11. Distribution Log'!$W$7:$W$46,'11. Distribution Log'!$C$7:$C$46,$D53,'11. Distribution Log'!$AI$7:$AI$46,"Q3")),"")</f>
        <v/>
      </c>
      <c r="Y53" s="72" t="str">
        <f aca="false">IFERROR(IF((SUMIFS('10. Activity Data Log'!$U$7:$U$46,'10. Activity Data Log'!$C$7:$C$46,$D53,'10. Activity Data Log'!$AD$7:$AD$46,"Q4")+SUMIFS('11. Distribution Log'!$W$7:$W$46,'11. Distribution Log'!$C$7:$C$46,$D53,'11. Distribution Log'!$AI$7:$AI$46,"Q4"))=0,"",SUMIFS('10. Activity Data Log'!$U$7:$U$46,'10. Activity Data Log'!$C$7:$C$46,$D53,'10. Activity Data Log'!$AD$7:$AD$46,"Q4")+SUMIFS('11. Distribution Log'!$W$7:$W$46,'11. Distribution Log'!$C$7:$C$46,$D53,'11. Distribution Log'!$AI$7:$AI$46,"Q4")),"")</f>
        <v/>
      </c>
      <c r="Z53" s="72" t="str">
        <f aca="false">IFERROR(IF((SUMIFS('10. Activity Data Log'!$U$7:$U$46,'10. Activity Data Log'!$C$7:$C$46,$D53,'10. Activity Data Log'!$AD$7:$AD$46,"Q5")+SUMIFS('11. Distribution Log'!$W$7:$W$46,'11. Distribution Log'!$C$7:$C$46,$D53,'11. Distribution Log'!$AI$7:$AI$46,"Q5"))=0,"",SUMIFS('10. Activity Data Log'!$U$7:$U$46,'10. Activity Data Log'!$C$7:$C$46,$D53,'10. Activity Data Log'!$AD$7:$AD$46,"Q5")+SUMIFS('11. Distribution Log'!$W$7:$W$46,'11. Distribution Log'!$C$7:$C$46,$D53,'11. Distribution Log'!$AI$7:$AI$46,"Q5")),"")</f>
        <v/>
      </c>
      <c r="AA53" s="72" t="str">
        <f aca="false">IFERROR(IF((SUMIFS('10. Activity Data Log'!$U$7:$U$46,'10. Activity Data Log'!$C$7:$C$46,$D53,'10. Activity Data Log'!$AD$7:$AD$46,"Q6")+SUMIFS('11. Distribution Log'!$W$7:$W$46,'11. Distribution Log'!$C$7:$C$46,$D53,'11. Distribution Log'!$AI$7:$AI$46,"Q6"))=0,"",SUMIFS('10. Activity Data Log'!$U$7:$U$46,'10. Activity Data Log'!$C$7:$C$46,$D53,'10. Activity Data Log'!$AD$7:$AD$46,"Q6")+SUMIFS('11. Distribution Log'!$W$7:$W$46,'11. Distribution Log'!$C$7:$C$46,$D53,'11. Distribution Log'!$AI$7:$AI$46,"Q6")),"")</f>
        <v/>
      </c>
      <c r="AB53" s="72" t="str">
        <f aca="false">IFERROR(IF((SUMIFS('10. Activity Data Log'!$U$7:$U$46,'10. Activity Data Log'!$C$7:$C$46,$D53,'10. Activity Data Log'!$AD$7:$AD$46,"Q7")+SUMIFS('11. Distribution Log'!$W$7:$W$46,'11. Distribution Log'!$C$7:$C$46,$D53,'11. Distribution Log'!$AI$7:$AI$46,"Q7"))=0,"",SUMIFS('10. Activity Data Log'!$U$7:$U$46,'10. Activity Data Log'!$C$7:$C$46,$D53,'10. Activity Data Log'!$AD$7:$AD$46,"Q7")+SUMIFS('11. Distribution Log'!$W$7:$W$46,'11. Distribution Log'!$C$7:$C$46,$D53,'11. Distribution Log'!$AI$7:$AI$46,"Q7")),"")</f>
        <v/>
      </c>
      <c r="AC53" s="72" t="str">
        <f aca="false">IFERROR(IF((SUMIFS('10. Activity Data Log'!$U$7:$U$46,'10. Activity Data Log'!$C$7:$C$46,$D53,'10. Activity Data Log'!$AD$7:$AD$46,"Q8")+SUMIFS('11. Distribution Log'!$W$7:$W$46,'11. Distribution Log'!$C$7:$C$46,$D53,'11. Distribution Log'!$AI$7:$AI$46,"Q8"))=0,"",SUMIFS('10. Activity Data Log'!$U$7:$U$46,'10. Activity Data Log'!$C$7:$C$46,$D53,'10. Activity Data Log'!$AD$7:$AD$46,"Q8")+SUMIFS('11. Distribution Log'!$W$7:$W$46,'11. Distribution Log'!$C$7:$C$46,$D53,'11. Distribution Log'!$AI$7:$AI$46,"Q8")),"")</f>
        <v/>
      </c>
      <c r="AD53" s="68" t="str">
        <f aca="false">IFERROR(IF(SUMPRODUCT((COLUMN(N53:U53)-COLUMN(N53)+1&lt;='7. IPTT'!$C$3)*N(N53:U53))=0,"",SUMPRODUCT((COLUMN(V53:AC53)-COLUMN(V53)+1&lt;='7. IPTT'!$C$3)*N(V53:AC53))/SUMPRODUCT((COLUMN(N53:U53)-COLUMN(N53)+1&lt;='7. IPTT'!$C$3)*N(N53:U53))),"")</f>
        <v/>
      </c>
      <c r="AE53" s="22" t="str">
        <f aca="false">IFERROR(IF(AD53="","No data yet",IF(AD53&gt;=0.9,"On Track",IF(AD53&gt;=0.7,"Slightly Behind","Behind"))),"")</f>
        <v>No data yet</v>
      </c>
      <c r="AF53" s="16" t="s">
        <v>1305</v>
      </c>
      <c r="AG53" s="16" t="s">
        <v>1305</v>
      </c>
      <c r="AH53" s="73" t="n">
        <v>73117.48</v>
      </c>
      <c r="AI53" s="74" t="n">
        <v>10455799.64</v>
      </c>
      <c r="AJ53" s="16" t="str">
        <f aca="false">IFERROR(IF(COUNTIF('10. Activity Data Log'!$C$7:$C$46,$D53)=0,"No Data Log entries yet",COUNTIF('10. Activity Data Log'!$C$7:$C$46,$D53)&amp;" entries logged, avg "&amp;TEXT(AVERAGEIF('10. Activity Data Log'!$C$7:$C$46,$D53,'10. Activity Data Log'!$AB$7:$AB$46),"0%")&amp;" of target"),"")</f>
        <v>No Data Log entries yet</v>
      </c>
      <c r="AK53" s="16" t="str">
        <f aca="false">IFERROR(IF(OR(J53="",J53="-"),"During [reporting period], FIVDB delivered: "&amp;E53&amp;" (target: "&amp;I53&amp;"). Source: "&amp;AM53&amp;".","During [reporting period], FIVDB delivered: "&amp;E53&amp;" (target: "&amp;I53&amp;"), contributing to indicator '"&amp;IFERROR(INDEX('7. IPTT'!$F$15:$F$37,MATCH(IF(ISNUMBER(FIND(",",J53)),TRIM(LEFT(J53,FIND(",",J53)-1)),TRIM(J53)),'7. IPTT'!$C$15:$C$37,0)),"")&amp;"' ("&amp;J53&amp;"). Source: "&amp;AM53&amp;"."),"During [reporting period], FIVDB delivered: "&amp;E53&amp;".")</f>
        <v>During [reporting period], FIVDB delivered: Construct new MPCACs and refurbish existing MPCACs, including running costs. (target: 4 new + 2 refurbished + 6 running), contributing to indicator '(MANDATORY) % of persons who receive appropriate PSS reporting improved mental health and psychosocial well-being OR capacities to cope' (R2-I4). Source: FIVDB Detailed Budget, rows 150-153 (2.3.1 Construction and/or refurbishment of MPCAC).</v>
      </c>
      <c r="AL53" s="16" t="s">
        <v>1306</v>
      </c>
      <c r="AM53" s="16" t="s">
        <v>1307</v>
      </c>
      <c r="AN53" s="22" t="s">
        <v>649</v>
      </c>
      <c r="AO53" s="16" t="s">
        <v>1308</v>
      </c>
    </row>
    <row r="54" customFormat="false" ht="99" hidden="false" customHeight="true" outlineLevel="0" collapsed="false">
      <c r="B54" s="22" t="s">
        <v>941</v>
      </c>
      <c r="C54" s="22" t="s">
        <v>1300</v>
      </c>
      <c r="D54" s="22" t="s">
        <v>683</v>
      </c>
      <c r="E54" s="16" t="s">
        <v>684</v>
      </c>
      <c r="F54" s="16"/>
      <c r="G54" s="16" t="s">
        <v>1194</v>
      </c>
      <c r="H54" s="16" t="s">
        <v>1103</v>
      </c>
      <c r="I54" s="16" t="s">
        <v>1309</v>
      </c>
      <c r="J54" s="22" t="s">
        <v>186</v>
      </c>
      <c r="K54" s="16" t="s">
        <v>1304</v>
      </c>
      <c r="L54" s="22" t="n">
        <v>100</v>
      </c>
      <c r="M54" s="22" t="s">
        <v>1197</v>
      </c>
      <c r="N54" s="49"/>
      <c r="O54" s="49"/>
      <c r="P54" s="49"/>
      <c r="Q54" s="49"/>
      <c r="R54" s="49"/>
      <c r="S54" s="49"/>
      <c r="T54" s="49"/>
      <c r="U54" s="49"/>
      <c r="V54" s="72" t="str">
        <f aca="false">IFERROR(IF((SUMIFS('10. Activity Data Log'!$U$7:$U$46,'10. Activity Data Log'!$C$7:$C$46,$D54,'10. Activity Data Log'!$AD$7:$AD$46,"Q1")+SUMIFS('11. Distribution Log'!$W$7:$W$46,'11. Distribution Log'!$C$7:$C$46,$D54,'11. Distribution Log'!$AI$7:$AI$46,"Q1"))=0,"",SUMIFS('10. Activity Data Log'!$U$7:$U$46,'10. Activity Data Log'!$C$7:$C$46,$D54,'10. Activity Data Log'!$AD$7:$AD$46,"Q1")+SUMIFS('11. Distribution Log'!$W$7:$W$46,'11. Distribution Log'!$C$7:$C$46,$D54,'11. Distribution Log'!$AI$7:$AI$46,"Q1")),"")</f>
        <v/>
      </c>
      <c r="W54" s="72" t="str">
        <f aca="false">IFERROR(IF((SUMIFS('10. Activity Data Log'!$U$7:$U$46,'10. Activity Data Log'!$C$7:$C$46,$D54,'10. Activity Data Log'!$AD$7:$AD$46,"Q2")+SUMIFS('11. Distribution Log'!$W$7:$W$46,'11. Distribution Log'!$C$7:$C$46,$D54,'11. Distribution Log'!$AI$7:$AI$46,"Q2"))=0,"",SUMIFS('10. Activity Data Log'!$U$7:$U$46,'10. Activity Data Log'!$C$7:$C$46,$D54,'10. Activity Data Log'!$AD$7:$AD$46,"Q2")+SUMIFS('11. Distribution Log'!$W$7:$W$46,'11. Distribution Log'!$C$7:$C$46,$D54,'11. Distribution Log'!$AI$7:$AI$46,"Q2")),"")</f>
        <v/>
      </c>
      <c r="X54" s="72" t="str">
        <f aca="false">IFERROR(IF((SUMIFS('10. Activity Data Log'!$U$7:$U$46,'10. Activity Data Log'!$C$7:$C$46,$D54,'10. Activity Data Log'!$AD$7:$AD$46,"Q3")+SUMIFS('11. Distribution Log'!$W$7:$W$46,'11. Distribution Log'!$C$7:$C$46,$D54,'11. Distribution Log'!$AI$7:$AI$46,"Q3"))=0,"",SUMIFS('10. Activity Data Log'!$U$7:$U$46,'10. Activity Data Log'!$C$7:$C$46,$D54,'10. Activity Data Log'!$AD$7:$AD$46,"Q3")+SUMIFS('11. Distribution Log'!$W$7:$W$46,'11. Distribution Log'!$C$7:$C$46,$D54,'11. Distribution Log'!$AI$7:$AI$46,"Q3")),"")</f>
        <v/>
      </c>
      <c r="Y54" s="72" t="str">
        <f aca="false">IFERROR(IF((SUMIFS('10. Activity Data Log'!$U$7:$U$46,'10. Activity Data Log'!$C$7:$C$46,$D54,'10. Activity Data Log'!$AD$7:$AD$46,"Q4")+SUMIFS('11. Distribution Log'!$W$7:$W$46,'11. Distribution Log'!$C$7:$C$46,$D54,'11. Distribution Log'!$AI$7:$AI$46,"Q4"))=0,"",SUMIFS('10. Activity Data Log'!$U$7:$U$46,'10. Activity Data Log'!$C$7:$C$46,$D54,'10. Activity Data Log'!$AD$7:$AD$46,"Q4")+SUMIFS('11. Distribution Log'!$W$7:$W$46,'11. Distribution Log'!$C$7:$C$46,$D54,'11. Distribution Log'!$AI$7:$AI$46,"Q4")),"")</f>
        <v/>
      </c>
      <c r="Z54" s="72" t="str">
        <f aca="false">IFERROR(IF((SUMIFS('10. Activity Data Log'!$U$7:$U$46,'10. Activity Data Log'!$C$7:$C$46,$D54,'10. Activity Data Log'!$AD$7:$AD$46,"Q5")+SUMIFS('11. Distribution Log'!$W$7:$W$46,'11. Distribution Log'!$C$7:$C$46,$D54,'11. Distribution Log'!$AI$7:$AI$46,"Q5"))=0,"",SUMIFS('10. Activity Data Log'!$U$7:$U$46,'10. Activity Data Log'!$C$7:$C$46,$D54,'10. Activity Data Log'!$AD$7:$AD$46,"Q5")+SUMIFS('11. Distribution Log'!$W$7:$W$46,'11. Distribution Log'!$C$7:$C$46,$D54,'11. Distribution Log'!$AI$7:$AI$46,"Q5")),"")</f>
        <v/>
      </c>
      <c r="AA54" s="72" t="str">
        <f aca="false">IFERROR(IF((SUMIFS('10. Activity Data Log'!$U$7:$U$46,'10. Activity Data Log'!$C$7:$C$46,$D54,'10. Activity Data Log'!$AD$7:$AD$46,"Q6")+SUMIFS('11. Distribution Log'!$W$7:$W$46,'11. Distribution Log'!$C$7:$C$46,$D54,'11. Distribution Log'!$AI$7:$AI$46,"Q6"))=0,"",SUMIFS('10. Activity Data Log'!$U$7:$U$46,'10. Activity Data Log'!$C$7:$C$46,$D54,'10. Activity Data Log'!$AD$7:$AD$46,"Q6")+SUMIFS('11. Distribution Log'!$W$7:$W$46,'11. Distribution Log'!$C$7:$C$46,$D54,'11. Distribution Log'!$AI$7:$AI$46,"Q6")),"")</f>
        <v/>
      </c>
      <c r="AB54" s="72" t="str">
        <f aca="false">IFERROR(IF((SUMIFS('10. Activity Data Log'!$U$7:$U$46,'10. Activity Data Log'!$C$7:$C$46,$D54,'10. Activity Data Log'!$AD$7:$AD$46,"Q7")+SUMIFS('11. Distribution Log'!$W$7:$W$46,'11. Distribution Log'!$C$7:$C$46,$D54,'11. Distribution Log'!$AI$7:$AI$46,"Q7"))=0,"",SUMIFS('10. Activity Data Log'!$U$7:$U$46,'10. Activity Data Log'!$C$7:$C$46,$D54,'10. Activity Data Log'!$AD$7:$AD$46,"Q7")+SUMIFS('11. Distribution Log'!$W$7:$W$46,'11. Distribution Log'!$C$7:$C$46,$D54,'11. Distribution Log'!$AI$7:$AI$46,"Q7")),"")</f>
        <v/>
      </c>
      <c r="AC54" s="72" t="str">
        <f aca="false">IFERROR(IF((SUMIFS('10. Activity Data Log'!$U$7:$U$46,'10. Activity Data Log'!$C$7:$C$46,$D54,'10. Activity Data Log'!$AD$7:$AD$46,"Q8")+SUMIFS('11. Distribution Log'!$W$7:$W$46,'11. Distribution Log'!$C$7:$C$46,$D54,'11. Distribution Log'!$AI$7:$AI$46,"Q8"))=0,"",SUMIFS('10. Activity Data Log'!$U$7:$U$46,'10. Activity Data Log'!$C$7:$C$46,$D54,'10. Activity Data Log'!$AD$7:$AD$46,"Q8")+SUMIFS('11. Distribution Log'!$W$7:$W$46,'11. Distribution Log'!$C$7:$C$46,$D54,'11. Distribution Log'!$AI$7:$AI$46,"Q8")),"")</f>
        <v/>
      </c>
      <c r="AD54" s="68" t="str">
        <f aca="false">IFERROR(IF(SUMPRODUCT((COLUMN(N54:U54)-COLUMN(N54)+1&lt;='7. IPTT'!$C$3)*N(N54:U54))=0,"",SUMPRODUCT((COLUMN(V54:AC54)-COLUMN(V54)+1&lt;='7. IPTT'!$C$3)*N(V54:AC54))/SUMPRODUCT((COLUMN(N54:U54)-COLUMN(N54)+1&lt;='7. IPTT'!$C$3)*N(N54:U54))),"")</f>
        <v/>
      </c>
      <c r="AE54" s="22" t="str">
        <f aca="false">IFERROR(IF(AD54="","No data yet",IF(AD54&gt;=0.9,"On Track",IF(AD54&gt;=0.7,"Slightly Behind","Behind"))),"")</f>
        <v>No data yet</v>
      </c>
      <c r="AF54" s="16" t="s">
        <v>1305</v>
      </c>
      <c r="AG54" s="16" t="s">
        <v>1305</v>
      </c>
      <c r="AH54" s="73" t="n">
        <v>73117.48</v>
      </c>
      <c r="AI54" s="74" t="n">
        <v>10455799.64</v>
      </c>
      <c r="AJ54" s="16" t="str">
        <f aca="false">IFERROR(IF(COUNTIF('10. Activity Data Log'!$C$7:$C$46,$D54)=0,"No Data Log entries yet",COUNTIF('10. Activity Data Log'!$C$7:$C$46,$D54)&amp;" entries logged, avg "&amp;TEXT(AVERAGEIF('10. Activity Data Log'!$C$7:$C$46,$D54,'10. Activity Data Log'!$AB$7:$AB$46),"0%")&amp;" of target"),"")</f>
        <v>No Data Log entries yet</v>
      </c>
      <c r="AK54" s="16" t="str">
        <f aca="false">IFERROR(IF(OR(J54="",J54="-"),"During [reporting period], FIVDB delivered: "&amp;E54&amp;" (target: "&amp;I54&amp;"). Source: "&amp;AM54&amp;".","During [reporting period], FIVDB delivered: "&amp;E54&amp;" (target: "&amp;I54&amp;"), contributing to indicator '"&amp;IFERROR(INDEX('7. IPTT'!$F$15:$F$37,MATCH(IF(ISNUMBER(FIND(",",J54)),TRIM(LEFT(J54,FIND(",",J54)-1)),TRIM(J54)),'7. IPTT'!$C$15:$C$37,0)),"")&amp;"' ("&amp;J54&amp;"). Source: "&amp;AM54&amp;"."),"During [reporting period], FIVDB delivered: "&amp;E54&amp;".")</f>
        <v>During [reporting period], FIVDB delivered: Roll out 'I Support My Friend' (ISMF) at community level, including inception meeting and adolescent training. (target: 100 participants, inception + 3-day training), contributing to indicator '(MANDATORY) % of persons who receive appropriate PSS reporting improved mental health and psychosocial well-being OR capacities to cope' (R2-I4). Source: FIVDB Detailed Budget, rows 154-156 (2.3.2 Roll out of I Support My Friend at community level).</v>
      </c>
      <c r="AL54" s="16" t="s">
        <v>1231</v>
      </c>
      <c r="AM54" s="16" t="s">
        <v>1310</v>
      </c>
      <c r="AN54" s="22" t="s">
        <v>649</v>
      </c>
      <c r="AO54" s="16" t="s">
        <v>1311</v>
      </c>
    </row>
    <row r="55" customFormat="false" ht="99" hidden="false" customHeight="true" outlineLevel="0" collapsed="false">
      <c r="B55" s="22" t="s">
        <v>941</v>
      </c>
      <c r="C55" s="22" t="s">
        <v>1300</v>
      </c>
      <c r="D55" s="22" t="s">
        <v>685</v>
      </c>
      <c r="E55" s="16" t="s">
        <v>686</v>
      </c>
      <c r="F55" s="16"/>
      <c r="G55" s="16" t="s">
        <v>1312</v>
      </c>
      <c r="H55" s="16" t="s">
        <v>1103</v>
      </c>
      <c r="I55" s="16" t="s">
        <v>1313</v>
      </c>
      <c r="J55" s="22" t="s">
        <v>186</v>
      </c>
      <c r="K55" s="16" t="s">
        <v>1304</v>
      </c>
      <c r="L55" s="22" t="n">
        <v>18</v>
      </c>
      <c r="M55" s="22" t="s">
        <v>1260</v>
      </c>
      <c r="N55" s="49"/>
      <c r="O55" s="49"/>
      <c r="P55" s="49"/>
      <c r="Q55" s="49"/>
      <c r="R55" s="49"/>
      <c r="S55" s="49"/>
      <c r="T55" s="49"/>
      <c r="U55" s="49"/>
      <c r="V55" s="72" t="str">
        <f aca="false">IFERROR(IF((SUMIFS('10. Activity Data Log'!$U$7:$U$46,'10. Activity Data Log'!$C$7:$C$46,$D55,'10. Activity Data Log'!$AD$7:$AD$46,"Q1")+SUMIFS('11. Distribution Log'!$W$7:$W$46,'11. Distribution Log'!$C$7:$C$46,$D55,'11. Distribution Log'!$AI$7:$AI$46,"Q1"))=0,"",SUMIFS('10. Activity Data Log'!$U$7:$U$46,'10. Activity Data Log'!$C$7:$C$46,$D55,'10. Activity Data Log'!$AD$7:$AD$46,"Q1")+SUMIFS('11. Distribution Log'!$W$7:$W$46,'11. Distribution Log'!$C$7:$C$46,$D55,'11. Distribution Log'!$AI$7:$AI$46,"Q1")),"")</f>
        <v/>
      </c>
      <c r="W55" s="72" t="str">
        <f aca="false">IFERROR(IF((SUMIFS('10. Activity Data Log'!$U$7:$U$46,'10. Activity Data Log'!$C$7:$C$46,$D55,'10. Activity Data Log'!$AD$7:$AD$46,"Q2")+SUMIFS('11. Distribution Log'!$W$7:$W$46,'11. Distribution Log'!$C$7:$C$46,$D55,'11. Distribution Log'!$AI$7:$AI$46,"Q2"))=0,"",SUMIFS('10. Activity Data Log'!$U$7:$U$46,'10. Activity Data Log'!$C$7:$C$46,$D55,'10. Activity Data Log'!$AD$7:$AD$46,"Q2")+SUMIFS('11. Distribution Log'!$W$7:$W$46,'11. Distribution Log'!$C$7:$C$46,$D55,'11. Distribution Log'!$AI$7:$AI$46,"Q2")),"")</f>
        <v/>
      </c>
      <c r="X55" s="72" t="str">
        <f aca="false">IFERROR(IF((SUMIFS('10. Activity Data Log'!$U$7:$U$46,'10. Activity Data Log'!$C$7:$C$46,$D55,'10. Activity Data Log'!$AD$7:$AD$46,"Q3")+SUMIFS('11. Distribution Log'!$W$7:$W$46,'11. Distribution Log'!$C$7:$C$46,$D55,'11. Distribution Log'!$AI$7:$AI$46,"Q3"))=0,"",SUMIFS('10. Activity Data Log'!$U$7:$U$46,'10. Activity Data Log'!$C$7:$C$46,$D55,'10. Activity Data Log'!$AD$7:$AD$46,"Q3")+SUMIFS('11. Distribution Log'!$W$7:$W$46,'11. Distribution Log'!$C$7:$C$46,$D55,'11. Distribution Log'!$AI$7:$AI$46,"Q3")),"")</f>
        <v/>
      </c>
      <c r="Y55" s="72" t="str">
        <f aca="false">IFERROR(IF((SUMIFS('10. Activity Data Log'!$U$7:$U$46,'10. Activity Data Log'!$C$7:$C$46,$D55,'10. Activity Data Log'!$AD$7:$AD$46,"Q4")+SUMIFS('11. Distribution Log'!$W$7:$W$46,'11. Distribution Log'!$C$7:$C$46,$D55,'11. Distribution Log'!$AI$7:$AI$46,"Q4"))=0,"",SUMIFS('10. Activity Data Log'!$U$7:$U$46,'10. Activity Data Log'!$C$7:$C$46,$D55,'10. Activity Data Log'!$AD$7:$AD$46,"Q4")+SUMIFS('11. Distribution Log'!$W$7:$W$46,'11. Distribution Log'!$C$7:$C$46,$D55,'11. Distribution Log'!$AI$7:$AI$46,"Q4")),"")</f>
        <v/>
      </c>
      <c r="Z55" s="72" t="str">
        <f aca="false">IFERROR(IF((SUMIFS('10. Activity Data Log'!$U$7:$U$46,'10. Activity Data Log'!$C$7:$C$46,$D55,'10. Activity Data Log'!$AD$7:$AD$46,"Q5")+SUMIFS('11. Distribution Log'!$W$7:$W$46,'11. Distribution Log'!$C$7:$C$46,$D55,'11. Distribution Log'!$AI$7:$AI$46,"Q5"))=0,"",SUMIFS('10. Activity Data Log'!$U$7:$U$46,'10. Activity Data Log'!$C$7:$C$46,$D55,'10. Activity Data Log'!$AD$7:$AD$46,"Q5")+SUMIFS('11. Distribution Log'!$W$7:$W$46,'11. Distribution Log'!$C$7:$C$46,$D55,'11. Distribution Log'!$AI$7:$AI$46,"Q5")),"")</f>
        <v/>
      </c>
      <c r="AA55" s="72" t="str">
        <f aca="false">IFERROR(IF((SUMIFS('10. Activity Data Log'!$U$7:$U$46,'10. Activity Data Log'!$C$7:$C$46,$D55,'10. Activity Data Log'!$AD$7:$AD$46,"Q6")+SUMIFS('11. Distribution Log'!$W$7:$W$46,'11. Distribution Log'!$C$7:$C$46,$D55,'11. Distribution Log'!$AI$7:$AI$46,"Q6"))=0,"",SUMIFS('10. Activity Data Log'!$U$7:$U$46,'10. Activity Data Log'!$C$7:$C$46,$D55,'10. Activity Data Log'!$AD$7:$AD$46,"Q6")+SUMIFS('11. Distribution Log'!$W$7:$W$46,'11. Distribution Log'!$C$7:$C$46,$D55,'11. Distribution Log'!$AI$7:$AI$46,"Q6")),"")</f>
        <v/>
      </c>
      <c r="AB55" s="72" t="str">
        <f aca="false">IFERROR(IF((SUMIFS('10. Activity Data Log'!$U$7:$U$46,'10. Activity Data Log'!$C$7:$C$46,$D55,'10. Activity Data Log'!$AD$7:$AD$46,"Q7")+SUMIFS('11. Distribution Log'!$W$7:$W$46,'11. Distribution Log'!$C$7:$C$46,$D55,'11. Distribution Log'!$AI$7:$AI$46,"Q7"))=0,"",SUMIFS('10. Activity Data Log'!$U$7:$U$46,'10. Activity Data Log'!$C$7:$C$46,$D55,'10. Activity Data Log'!$AD$7:$AD$46,"Q7")+SUMIFS('11. Distribution Log'!$W$7:$W$46,'11. Distribution Log'!$C$7:$C$46,$D55,'11. Distribution Log'!$AI$7:$AI$46,"Q7")),"")</f>
        <v/>
      </c>
      <c r="AC55" s="72" t="str">
        <f aca="false">IFERROR(IF((SUMIFS('10. Activity Data Log'!$U$7:$U$46,'10. Activity Data Log'!$C$7:$C$46,$D55,'10. Activity Data Log'!$AD$7:$AD$46,"Q8")+SUMIFS('11. Distribution Log'!$W$7:$W$46,'11. Distribution Log'!$C$7:$C$46,$D55,'11. Distribution Log'!$AI$7:$AI$46,"Q8"))=0,"",SUMIFS('10. Activity Data Log'!$U$7:$U$46,'10. Activity Data Log'!$C$7:$C$46,$D55,'10. Activity Data Log'!$AD$7:$AD$46,"Q8")+SUMIFS('11. Distribution Log'!$W$7:$W$46,'11. Distribution Log'!$C$7:$C$46,$D55,'11. Distribution Log'!$AI$7:$AI$46,"Q8")),"")</f>
        <v/>
      </c>
      <c r="AD55" s="68" t="str">
        <f aca="false">IFERROR(IF(SUMPRODUCT((COLUMN(N55:U55)-COLUMN(N55)+1&lt;='7. IPTT'!$C$3)*N(N55:U55))=0,"",SUMPRODUCT((COLUMN(V55:AC55)-COLUMN(V55)+1&lt;='7. IPTT'!$C$3)*N(V55:AC55))/SUMPRODUCT((COLUMN(N55:U55)-COLUMN(N55)+1&lt;='7. IPTT'!$C$3)*N(N55:U55))),"")</f>
        <v/>
      </c>
      <c r="AE55" s="22" t="str">
        <f aca="false">IFERROR(IF(AD55="","No data yet",IF(AD55&gt;=0.9,"On Track",IF(AD55&gt;=0.7,"Slightly Behind","Behind"))),"")</f>
        <v>No data yet</v>
      </c>
      <c r="AF55" s="16" t="s">
        <v>1305</v>
      </c>
      <c r="AG55" s="16" t="s">
        <v>1305</v>
      </c>
      <c r="AH55" s="73" t="n">
        <v>73117.48</v>
      </c>
      <c r="AI55" s="74" t="n">
        <v>10455799.64</v>
      </c>
      <c r="AJ55" s="16" t="str">
        <f aca="false">IFERROR(IF(COUNTIF('10. Activity Data Log'!$C$7:$C$46,$D55)=0,"No Data Log entries yet",COUNTIF('10. Activity Data Log'!$C$7:$C$46,$D55)&amp;" entries logged, avg "&amp;TEXT(AVERAGEIF('10. Activity Data Log'!$C$7:$C$46,$D55,'10. Activity Data Log'!$AB$7:$AB$46),"0%")&amp;" of target"),"")</f>
        <v>No Data Log entries yet</v>
      </c>
      <c r="AK55" s="16" t="str">
        <f aca="false">IFERROR(IF(OR(J55="",J55="-"),"During [reporting period], FIVDB delivered: "&amp;E55&amp;" (target: "&amp;I55&amp;"). Source: "&amp;AM55&amp;".","During [reporting period], FIVDB delivered: "&amp;E55&amp;" (target: "&amp;I55&amp;"), contributing to indicator '"&amp;IFERROR(INDEX('7. IPTT'!$F$15:$F$37,MATCH(IF(ISNUMBER(FIND(",",J55)),TRIM(LEFT(J55,FIND(",",J55)-1)),TRIM(J55)),'7. IPTT'!$C$15:$C$37,0)),"")&amp;"' ("&amp;J55&amp;"). Source: "&amp;AM55&amp;"."),"During [reporting period], FIVDB delivered: "&amp;E55&amp;".")</f>
        <v>During [reporting period], FIVDB delivered: Deploy MPCAC facilitators (refugee volunteers, host-community volunteers, security guards) to run PSS/awareness sessions. (target: 18 persons (6+6+6) x 11 months), contributing to indicator '(MANDATORY) % of persons who receive appropriate PSS reporting improved mental health and psychosocial well-being OR capacities to cope' (R2-I4). Source: FIVDB Detailed Budget, rows 157-160 (2.3.3 Facilitators of the MPCAC).</v>
      </c>
      <c r="AL55" s="16" t="s">
        <v>1130</v>
      </c>
      <c r="AM55" s="16" t="s">
        <v>1314</v>
      </c>
      <c r="AN55" s="22" t="s">
        <v>649</v>
      </c>
      <c r="AO55" s="16" t="s">
        <v>1315</v>
      </c>
    </row>
    <row r="56" customFormat="false" ht="99" hidden="false" customHeight="true" outlineLevel="0" collapsed="false">
      <c r="B56" s="22" t="s">
        <v>941</v>
      </c>
      <c r="C56" s="22" t="s">
        <v>1300</v>
      </c>
      <c r="D56" s="22" t="s">
        <v>687</v>
      </c>
      <c r="E56" s="16" t="s">
        <v>688</v>
      </c>
      <c r="F56" s="16"/>
      <c r="G56" s="16" t="s">
        <v>1312</v>
      </c>
      <c r="H56" s="16" t="s">
        <v>1103</v>
      </c>
      <c r="I56" s="16" t="s">
        <v>1316</v>
      </c>
      <c r="J56" s="22" t="s">
        <v>1317</v>
      </c>
      <c r="K56" s="16" t="s">
        <v>1318</v>
      </c>
      <c r="L56" s="22" t="n">
        <v>20</v>
      </c>
      <c r="M56" s="22" t="s">
        <v>1260</v>
      </c>
      <c r="N56" s="49"/>
      <c r="O56" s="49"/>
      <c r="P56" s="49"/>
      <c r="Q56" s="49"/>
      <c r="R56" s="49"/>
      <c r="S56" s="49"/>
      <c r="T56" s="49"/>
      <c r="U56" s="49"/>
      <c r="V56" s="72" t="str">
        <f aca="false">IFERROR(IF((SUMIFS('10. Activity Data Log'!$U$7:$U$46,'10. Activity Data Log'!$C$7:$C$46,$D56,'10. Activity Data Log'!$AD$7:$AD$46,"Q1")+SUMIFS('11. Distribution Log'!$W$7:$W$46,'11. Distribution Log'!$C$7:$C$46,$D56,'11. Distribution Log'!$AI$7:$AI$46,"Q1"))=0,"",SUMIFS('10. Activity Data Log'!$U$7:$U$46,'10. Activity Data Log'!$C$7:$C$46,$D56,'10. Activity Data Log'!$AD$7:$AD$46,"Q1")+SUMIFS('11. Distribution Log'!$W$7:$W$46,'11. Distribution Log'!$C$7:$C$46,$D56,'11. Distribution Log'!$AI$7:$AI$46,"Q1")),"")</f>
        <v/>
      </c>
      <c r="W56" s="72" t="str">
        <f aca="false">IFERROR(IF((SUMIFS('10. Activity Data Log'!$U$7:$U$46,'10. Activity Data Log'!$C$7:$C$46,$D56,'10. Activity Data Log'!$AD$7:$AD$46,"Q2")+SUMIFS('11. Distribution Log'!$W$7:$W$46,'11. Distribution Log'!$C$7:$C$46,$D56,'11. Distribution Log'!$AI$7:$AI$46,"Q2"))=0,"",SUMIFS('10. Activity Data Log'!$U$7:$U$46,'10. Activity Data Log'!$C$7:$C$46,$D56,'10. Activity Data Log'!$AD$7:$AD$46,"Q2")+SUMIFS('11. Distribution Log'!$W$7:$W$46,'11. Distribution Log'!$C$7:$C$46,$D56,'11. Distribution Log'!$AI$7:$AI$46,"Q2")),"")</f>
        <v/>
      </c>
      <c r="X56" s="72" t="str">
        <f aca="false">IFERROR(IF((SUMIFS('10. Activity Data Log'!$U$7:$U$46,'10. Activity Data Log'!$C$7:$C$46,$D56,'10. Activity Data Log'!$AD$7:$AD$46,"Q3")+SUMIFS('11. Distribution Log'!$W$7:$W$46,'11. Distribution Log'!$C$7:$C$46,$D56,'11. Distribution Log'!$AI$7:$AI$46,"Q3"))=0,"",SUMIFS('10. Activity Data Log'!$U$7:$U$46,'10. Activity Data Log'!$C$7:$C$46,$D56,'10. Activity Data Log'!$AD$7:$AD$46,"Q3")+SUMIFS('11. Distribution Log'!$W$7:$W$46,'11. Distribution Log'!$C$7:$C$46,$D56,'11. Distribution Log'!$AI$7:$AI$46,"Q3")),"")</f>
        <v/>
      </c>
      <c r="Y56" s="72" t="str">
        <f aca="false">IFERROR(IF((SUMIFS('10. Activity Data Log'!$U$7:$U$46,'10. Activity Data Log'!$C$7:$C$46,$D56,'10. Activity Data Log'!$AD$7:$AD$46,"Q4")+SUMIFS('11. Distribution Log'!$W$7:$W$46,'11. Distribution Log'!$C$7:$C$46,$D56,'11. Distribution Log'!$AI$7:$AI$46,"Q4"))=0,"",SUMIFS('10. Activity Data Log'!$U$7:$U$46,'10. Activity Data Log'!$C$7:$C$46,$D56,'10. Activity Data Log'!$AD$7:$AD$46,"Q4")+SUMIFS('11. Distribution Log'!$W$7:$W$46,'11. Distribution Log'!$C$7:$C$46,$D56,'11. Distribution Log'!$AI$7:$AI$46,"Q4")),"")</f>
        <v/>
      </c>
      <c r="Z56" s="72" t="str">
        <f aca="false">IFERROR(IF((SUMIFS('10. Activity Data Log'!$U$7:$U$46,'10. Activity Data Log'!$C$7:$C$46,$D56,'10. Activity Data Log'!$AD$7:$AD$46,"Q5")+SUMIFS('11. Distribution Log'!$W$7:$W$46,'11. Distribution Log'!$C$7:$C$46,$D56,'11. Distribution Log'!$AI$7:$AI$46,"Q5"))=0,"",SUMIFS('10. Activity Data Log'!$U$7:$U$46,'10. Activity Data Log'!$C$7:$C$46,$D56,'10. Activity Data Log'!$AD$7:$AD$46,"Q5")+SUMIFS('11. Distribution Log'!$W$7:$W$46,'11. Distribution Log'!$C$7:$C$46,$D56,'11. Distribution Log'!$AI$7:$AI$46,"Q5")),"")</f>
        <v/>
      </c>
      <c r="AA56" s="72" t="str">
        <f aca="false">IFERROR(IF((SUMIFS('10. Activity Data Log'!$U$7:$U$46,'10. Activity Data Log'!$C$7:$C$46,$D56,'10. Activity Data Log'!$AD$7:$AD$46,"Q6")+SUMIFS('11. Distribution Log'!$W$7:$W$46,'11. Distribution Log'!$C$7:$C$46,$D56,'11. Distribution Log'!$AI$7:$AI$46,"Q6"))=0,"",SUMIFS('10. Activity Data Log'!$U$7:$U$46,'10. Activity Data Log'!$C$7:$C$46,$D56,'10. Activity Data Log'!$AD$7:$AD$46,"Q6")+SUMIFS('11. Distribution Log'!$W$7:$W$46,'11. Distribution Log'!$C$7:$C$46,$D56,'11. Distribution Log'!$AI$7:$AI$46,"Q6")),"")</f>
        <v/>
      </c>
      <c r="AB56" s="72" t="str">
        <f aca="false">IFERROR(IF((SUMIFS('10. Activity Data Log'!$U$7:$U$46,'10. Activity Data Log'!$C$7:$C$46,$D56,'10. Activity Data Log'!$AD$7:$AD$46,"Q7")+SUMIFS('11. Distribution Log'!$W$7:$W$46,'11. Distribution Log'!$C$7:$C$46,$D56,'11. Distribution Log'!$AI$7:$AI$46,"Q7"))=0,"",SUMIFS('10. Activity Data Log'!$U$7:$U$46,'10. Activity Data Log'!$C$7:$C$46,$D56,'10. Activity Data Log'!$AD$7:$AD$46,"Q7")+SUMIFS('11. Distribution Log'!$W$7:$W$46,'11. Distribution Log'!$C$7:$C$46,$D56,'11. Distribution Log'!$AI$7:$AI$46,"Q7")),"")</f>
        <v/>
      </c>
      <c r="AC56" s="72" t="str">
        <f aca="false">IFERROR(IF((SUMIFS('10. Activity Data Log'!$U$7:$U$46,'10. Activity Data Log'!$C$7:$C$46,$D56,'10. Activity Data Log'!$AD$7:$AD$46,"Q8")+SUMIFS('11. Distribution Log'!$W$7:$W$46,'11. Distribution Log'!$C$7:$C$46,$D56,'11. Distribution Log'!$AI$7:$AI$46,"Q8"))=0,"",SUMIFS('10. Activity Data Log'!$U$7:$U$46,'10. Activity Data Log'!$C$7:$C$46,$D56,'10. Activity Data Log'!$AD$7:$AD$46,"Q8")+SUMIFS('11. Distribution Log'!$W$7:$W$46,'11. Distribution Log'!$C$7:$C$46,$D56,'11. Distribution Log'!$AI$7:$AI$46,"Q8")),"")</f>
        <v/>
      </c>
      <c r="AD56" s="68" t="str">
        <f aca="false">IFERROR(IF(SUMPRODUCT((COLUMN(N56:U56)-COLUMN(N56)+1&lt;='7. IPTT'!$C$3)*N(N56:U56))=0,"",SUMPRODUCT((COLUMN(V56:AC56)-COLUMN(V56)+1&lt;='7. IPTT'!$C$3)*N(V56:AC56))/SUMPRODUCT((COLUMN(N56:U56)-COLUMN(N56)+1&lt;='7. IPTT'!$C$3)*N(N56:U56))),"")</f>
        <v/>
      </c>
      <c r="AE56" s="22" t="str">
        <f aca="false">IFERROR(IF(AD56="","No data yet",IF(AD56&gt;=0.9,"On Track",IF(AD56&gt;=0.7,"Slightly Behind","Behind"))),"")</f>
        <v>No data yet</v>
      </c>
      <c r="AF56" s="16" t="s">
        <v>1305</v>
      </c>
      <c r="AG56" s="16" t="s">
        <v>1305</v>
      </c>
      <c r="AH56" s="73" t="n">
        <v>73117.48</v>
      </c>
      <c r="AI56" s="74" t="n">
        <v>10455799.64</v>
      </c>
      <c r="AJ56" s="16" t="str">
        <f aca="false">IFERROR(IF(COUNTIF('10. Activity Data Log'!$C$7:$C$46,$D56)=0,"No Data Log entries yet",COUNTIF('10. Activity Data Log'!$C$7:$C$46,$D56)&amp;" entries logged, avg "&amp;TEXT(AVERAGEIF('10. Activity Data Log'!$C$7:$C$46,$D56,'10. Activity Data Log'!$AB$7:$AB$46),"0%")&amp;" of target"),"")</f>
        <v>No Data Log entries yet</v>
      </c>
      <c r="AK56" s="16" t="str">
        <f aca="false">IFERROR(IF(OR(J56="",J56="-"),"During [reporting period], FIVDB delivered: "&amp;E56&amp;" (target: "&amp;I56&amp;"). Source: "&amp;AM56&amp;".","During [reporting period], FIVDB delivered: "&amp;E56&amp;" (target: "&amp;I56&amp;"), contributing to indicator '"&amp;IFERROR(INDEX('7. IPTT'!$F$15:$F$37,MATCH(IF(ISNUMBER(FIND(",",J56)),TRIM(LEFT(J56,FIND(",",J56)-1)),TRIM(J56)),'7. IPTT'!$C$15:$C$37,0)),"")&amp;"' ("&amp;J56&amp;"). Source: "&amp;AM56&amp;"."),"During [reporting period], FIVDB delivered: "&amp;E56&amp;".")</f>
        <v>During [reporting period], FIVDB delivered: Orient and engage proactive Men and Boys in GBV prevention and response (bi-weekly sessions). (target: 20 persons/camp x 4 camps, 88 sessions), contributing to indicator '' (GEN-4, R2-I4). Source: FIVDB Detailed Budget, rows 161-163 (2.3.5 Men and Boys Engagement to prevent and respond to GBV).</v>
      </c>
      <c r="AL56" s="16" t="s">
        <v>1231</v>
      </c>
      <c r="AM56" s="16" t="s">
        <v>1319</v>
      </c>
      <c r="AN56" s="22" t="s">
        <v>649</v>
      </c>
      <c r="AO56" s="16" t="s">
        <v>1320</v>
      </c>
    </row>
    <row r="57" customFormat="false" ht="99" hidden="false" customHeight="true" outlineLevel="0" collapsed="false">
      <c r="B57" s="22" t="s">
        <v>941</v>
      </c>
      <c r="C57" s="22" t="s">
        <v>1300</v>
      </c>
      <c r="D57" s="22" t="s">
        <v>689</v>
      </c>
      <c r="E57" s="16" t="s">
        <v>690</v>
      </c>
      <c r="F57" s="16"/>
      <c r="G57" s="16" t="s">
        <v>1321</v>
      </c>
      <c r="H57" s="16" t="s">
        <v>1103</v>
      </c>
      <c r="I57" s="16" t="s">
        <v>1322</v>
      </c>
      <c r="J57" s="22" t="s">
        <v>186</v>
      </c>
      <c r="K57" s="16" t="s">
        <v>1304</v>
      </c>
      <c r="L57" s="22" t="n">
        <v>4</v>
      </c>
      <c r="M57" s="22" t="s">
        <v>1323</v>
      </c>
      <c r="N57" s="49"/>
      <c r="O57" s="49"/>
      <c r="P57" s="49"/>
      <c r="Q57" s="49"/>
      <c r="R57" s="49"/>
      <c r="S57" s="49"/>
      <c r="T57" s="49"/>
      <c r="U57" s="49"/>
      <c r="V57" s="72" t="str">
        <f aca="false">IFERROR(IF((SUMIFS('10. Activity Data Log'!$U$7:$U$46,'10. Activity Data Log'!$C$7:$C$46,$D57,'10. Activity Data Log'!$AD$7:$AD$46,"Q1")+SUMIFS('11. Distribution Log'!$W$7:$W$46,'11. Distribution Log'!$C$7:$C$46,$D57,'11. Distribution Log'!$AI$7:$AI$46,"Q1"))=0,"",SUMIFS('10. Activity Data Log'!$U$7:$U$46,'10. Activity Data Log'!$C$7:$C$46,$D57,'10. Activity Data Log'!$AD$7:$AD$46,"Q1")+SUMIFS('11. Distribution Log'!$W$7:$W$46,'11. Distribution Log'!$C$7:$C$46,$D57,'11. Distribution Log'!$AI$7:$AI$46,"Q1")),"")</f>
        <v/>
      </c>
      <c r="W57" s="72" t="str">
        <f aca="false">IFERROR(IF((SUMIFS('10. Activity Data Log'!$U$7:$U$46,'10. Activity Data Log'!$C$7:$C$46,$D57,'10. Activity Data Log'!$AD$7:$AD$46,"Q2")+SUMIFS('11. Distribution Log'!$W$7:$W$46,'11. Distribution Log'!$C$7:$C$46,$D57,'11. Distribution Log'!$AI$7:$AI$46,"Q2"))=0,"",SUMIFS('10. Activity Data Log'!$U$7:$U$46,'10. Activity Data Log'!$C$7:$C$46,$D57,'10. Activity Data Log'!$AD$7:$AD$46,"Q2")+SUMIFS('11. Distribution Log'!$W$7:$W$46,'11. Distribution Log'!$C$7:$C$46,$D57,'11. Distribution Log'!$AI$7:$AI$46,"Q2")),"")</f>
        <v/>
      </c>
      <c r="X57" s="72" t="str">
        <f aca="false">IFERROR(IF((SUMIFS('10. Activity Data Log'!$U$7:$U$46,'10. Activity Data Log'!$C$7:$C$46,$D57,'10. Activity Data Log'!$AD$7:$AD$46,"Q3")+SUMIFS('11. Distribution Log'!$W$7:$W$46,'11. Distribution Log'!$C$7:$C$46,$D57,'11. Distribution Log'!$AI$7:$AI$46,"Q3"))=0,"",SUMIFS('10. Activity Data Log'!$U$7:$U$46,'10. Activity Data Log'!$C$7:$C$46,$D57,'10. Activity Data Log'!$AD$7:$AD$46,"Q3")+SUMIFS('11. Distribution Log'!$W$7:$W$46,'11. Distribution Log'!$C$7:$C$46,$D57,'11. Distribution Log'!$AI$7:$AI$46,"Q3")),"")</f>
        <v/>
      </c>
      <c r="Y57" s="72" t="str">
        <f aca="false">IFERROR(IF((SUMIFS('10. Activity Data Log'!$U$7:$U$46,'10. Activity Data Log'!$C$7:$C$46,$D57,'10. Activity Data Log'!$AD$7:$AD$46,"Q4")+SUMIFS('11. Distribution Log'!$W$7:$W$46,'11. Distribution Log'!$C$7:$C$46,$D57,'11. Distribution Log'!$AI$7:$AI$46,"Q4"))=0,"",SUMIFS('10. Activity Data Log'!$U$7:$U$46,'10. Activity Data Log'!$C$7:$C$46,$D57,'10. Activity Data Log'!$AD$7:$AD$46,"Q4")+SUMIFS('11. Distribution Log'!$W$7:$W$46,'11. Distribution Log'!$C$7:$C$46,$D57,'11. Distribution Log'!$AI$7:$AI$46,"Q4")),"")</f>
        <v/>
      </c>
      <c r="Z57" s="72" t="str">
        <f aca="false">IFERROR(IF((SUMIFS('10. Activity Data Log'!$U$7:$U$46,'10. Activity Data Log'!$C$7:$C$46,$D57,'10. Activity Data Log'!$AD$7:$AD$46,"Q5")+SUMIFS('11. Distribution Log'!$W$7:$W$46,'11. Distribution Log'!$C$7:$C$46,$D57,'11. Distribution Log'!$AI$7:$AI$46,"Q5"))=0,"",SUMIFS('10. Activity Data Log'!$U$7:$U$46,'10. Activity Data Log'!$C$7:$C$46,$D57,'10. Activity Data Log'!$AD$7:$AD$46,"Q5")+SUMIFS('11. Distribution Log'!$W$7:$W$46,'11. Distribution Log'!$C$7:$C$46,$D57,'11. Distribution Log'!$AI$7:$AI$46,"Q5")),"")</f>
        <v/>
      </c>
      <c r="AA57" s="72" t="str">
        <f aca="false">IFERROR(IF((SUMIFS('10. Activity Data Log'!$U$7:$U$46,'10. Activity Data Log'!$C$7:$C$46,$D57,'10. Activity Data Log'!$AD$7:$AD$46,"Q6")+SUMIFS('11. Distribution Log'!$W$7:$W$46,'11. Distribution Log'!$C$7:$C$46,$D57,'11. Distribution Log'!$AI$7:$AI$46,"Q6"))=0,"",SUMIFS('10. Activity Data Log'!$U$7:$U$46,'10. Activity Data Log'!$C$7:$C$46,$D57,'10. Activity Data Log'!$AD$7:$AD$46,"Q6")+SUMIFS('11. Distribution Log'!$W$7:$W$46,'11. Distribution Log'!$C$7:$C$46,$D57,'11. Distribution Log'!$AI$7:$AI$46,"Q6")),"")</f>
        <v/>
      </c>
      <c r="AB57" s="72" t="str">
        <f aca="false">IFERROR(IF((SUMIFS('10. Activity Data Log'!$U$7:$U$46,'10. Activity Data Log'!$C$7:$C$46,$D57,'10. Activity Data Log'!$AD$7:$AD$46,"Q7")+SUMIFS('11. Distribution Log'!$W$7:$W$46,'11. Distribution Log'!$C$7:$C$46,$D57,'11. Distribution Log'!$AI$7:$AI$46,"Q7"))=0,"",SUMIFS('10. Activity Data Log'!$U$7:$U$46,'10. Activity Data Log'!$C$7:$C$46,$D57,'10. Activity Data Log'!$AD$7:$AD$46,"Q7")+SUMIFS('11. Distribution Log'!$W$7:$W$46,'11. Distribution Log'!$C$7:$C$46,$D57,'11. Distribution Log'!$AI$7:$AI$46,"Q7")),"")</f>
        <v/>
      </c>
      <c r="AC57" s="72" t="str">
        <f aca="false">IFERROR(IF((SUMIFS('10. Activity Data Log'!$U$7:$U$46,'10. Activity Data Log'!$C$7:$C$46,$D57,'10. Activity Data Log'!$AD$7:$AD$46,"Q8")+SUMIFS('11. Distribution Log'!$W$7:$W$46,'11. Distribution Log'!$C$7:$C$46,$D57,'11. Distribution Log'!$AI$7:$AI$46,"Q8"))=0,"",SUMIFS('10. Activity Data Log'!$U$7:$U$46,'10. Activity Data Log'!$C$7:$C$46,$D57,'10. Activity Data Log'!$AD$7:$AD$46,"Q8")+SUMIFS('11. Distribution Log'!$W$7:$W$46,'11. Distribution Log'!$C$7:$C$46,$D57,'11. Distribution Log'!$AI$7:$AI$46,"Q8")),"")</f>
        <v/>
      </c>
      <c r="AD57" s="68" t="str">
        <f aca="false">IFERROR(IF(SUMPRODUCT((COLUMN(N57:U57)-COLUMN(N57)+1&lt;='7. IPTT'!$C$3)*N(N57:U57))=0,"",SUMPRODUCT((COLUMN(V57:AC57)-COLUMN(V57)+1&lt;='7. IPTT'!$C$3)*N(V57:AC57))/SUMPRODUCT((COLUMN(N57:U57)-COLUMN(N57)+1&lt;='7. IPTT'!$C$3)*N(N57:U57))),"")</f>
        <v/>
      </c>
      <c r="AE57" s="22" t="str">
        <f aca="false">IFERROR(IF(AD57="","No data yet",IF(AD57&gt;=0.9,"On Track",IF(AD57&gt;=0.7,"Slightly Behind","Behind"))),"")</f>
        <v>No data yet</v>
      </c>
      <c r="AF57" s="16" t="s">
        <v>1305</v>
      </c>
      <c r="AG57" s="16" t="s">
        <v>1305</v>
      </c>
      <c r="AH57" s="73" t="n">
        <v>73117.48</v>
      </c>
      <c r="AI57" s="74" t="n">
        <v>10455799.64</v>
      </c>
      <c r="AJ57" s="16" t="str">
        <f aca="false">IFERROR(IF(COUNTIF('10. Activity Data Log'!$C$7:$C$46,$D57)=0,"No Data Log entries yet",COUNTIF('10. Activity Data Log'!$C$7:$C$46,$D57)&amp;" entries logged, avg "&amp;TEXT(AVERAGEIF('10. Activity Data Log'!$C$7:$C$46,$D57,'10. Activity Data Log'!$AB$7:$AB$46),"0%")&amp;" of target"),"")</f>
        <v>No Data Log entries yet</v>
      </c>
      <c r="AK57" s="16" t="str">
        <f aca="false">IFERROR(IF(OR(J57="",J57="-"),"During [reporting period], FIVDB delivered: "&amp;E57&amp;" (target: "&amp;I57&amp;"). Source: "&amp;AM57&amp;".","During [reporting period], FIVDB delivered: "&amp;E57&amp;" (target: "&amp;I57&amp;"), contributing to indicator '"&amp;IFERROR(INDEX('7. IPTT'!$F$15:$F$37,MATCH(IF(ISNUMBER(FIND(",",J57)),TRIM(LEFT(J57,FIND(",",J57)-1)),TRIM(J57)),'7. IPTT'!$C$15:$C$37,0)),"")&amp;"' ("&amp;J57&amp;"). Source: "&amp;AM57&amp;"."),"During [reporting period], FIVDB delivered: "&amp;E57&amp;".")</f>
        <v>During [reporting period], FIVDB delivered: Deliver community-led activities on CP and GBV issues (day/event observation). (target: 4 events, 3 times), contributing to indicator '(MANDATORY) % of persons who receive appropriate PSS reporting improved mental health and psychosocial well-being OR capacities to cope' (R2-I4). Source: FIVDB Detailed Budget, rows 164-165 (2.3.6 Community led activities on CP &amp; GBV issue).</v>
      </c>
      <c r="AL57" s="16" t="s">
        <v>1324</v>
      </c>
      <c r="AM57" s="16" t="s">
        <v>1325</v>
      </c>
      <c r="AN57" s="22" t="s">
        <v>649</v>
      </c>
      <c r="AO57" s="16" t="s">
        <v>1326</v>
      </c>
    </row>
    <row r="58" customFormat="false" ht="111.75" hidden="false" customHeight="true" outlineLevel="0" collapsed="false">
      <c r="B58" s="22" t="s">
        <v>941</v>
      </c>
      <c r="C58" s="22" t="s">
        <v>1300</v>
      </c>
      <c r="D58" s="22" t="s">
        <v>691</v>
      </c>
      <c r="E58" s="16" t="s">
        <v>692</v>
      </c>
      <c r="F58" s="16" t="s">
        <v>1327</v>
      </c>
      <c r="G58" s="16" t="s">
        <v>1137</v>
      </c>
      <c r="H58" s="16" t="s">
        <v>1103</v>
      </c>
      <c r="I58" s="16" t="s">
        <v>1328</v>
      </c>
      <c r="J58" s="22" t="s">
        <v>186</v>
      </c>
      <c r="K58" s="16" t="s">
        <v>1304</v>
      </c>
      <c r="L58" s="22" t="n">
        <v>1814</v>
      </c>
      <c r="M58" s="22" t="s">
        <v>1260</v>
      </c>
      <c r="N58" s="49"/>
      <c r="O58" s="49"/>
      <c r="P58" s="49"/>
      <c r="Q58" s="49"/>
      <c r="R58" s="49"/>
      <c r="S58" s="49"/>
      <c r="T58" s="49"/>
      <c r="U58" s="49"/>
      <c r="V58" s="72" t="str">
        <f aca="false">IFERROR(IF((SUMIFS('10. Activity Data Log'!$U$7:$U$46,'10. Activity Data Log'!$C$7:$C$46,$D58,'10. Activity Data Log'!$AD$7:$AD$46,"Q1")+SUMIFS('11. Distribution Log'!$W$7:$W$46,'11. Distribution Log'!$C$7:$C$46,$D58,'11. Distribution Log'!$AI$7:$AI$46,"Q1"))=0,"",SUMIFS('10. Activity Data Log'!$U$7:$U$46,'10. Activity Data Log'!$C$7:$C$46,$D58,'10. Activity Data Log'!$AD$7:$AD$46,"Q1")+SUMIFS('11. Distribution Log'!$W$7:$W$46,'11. Distribution Log'!$C$7:$C$46,$D58,'11. Distribution Log'!$AI$7:$AI$46,"Q1")),"")</f>
        <v/>
      </c>
      <c r="W58" s="72" t="str">
        <f aca="false">IFERROR(IF((SUMIFS('10. Activity Data Log'!$U$7:$U$46,'10. Activity Data Log'!$C$7:$C$46,$D58,'10. Activity Data Log'!$AD$7:$AD$46,"Q2")+SUMIFS('11. Distribution Log'!$W$7:$W$46,'11. Distribution Log'!$C$7:$C$46,$D58,'11. Distribution Log'!$AI$7:$AI$46,"Q2"))=0,"",SUMIFS('10. Activity Data Log'!$U$7:$U$46,'10. Activity Data Log'!$C$7:$C$46,$D58,'10. Activity Data Log'!$AD$7:$AD$46,"Q2")+SUMIFS('11. Distribution Log'!$W$7:$W$46,'11. Distribution Log'!$C$7:$C$46,$D58,'11. Distribution Log'!$AI$7:$AI$46,"Q2")),"")</f>
        <v/>
      </c>
      <c r="X58" s="72" t="str">
        <f aca="false">IFERROR(IF((SUMIFS('10. Activity Data Log'!$U$7:$U$46,'10. Activity Data Log'!$C$7:$C$46,$D58,'10. Activity Data Log'!$AD$7:$AD$46,"Q3")+SUMIFS('11. Distribution Log'!$W$7:$W$46,'11. Distribution Log'!$C$7:$C$46,$D58,'11. Distribution Log'!$AI$7:$AI$46,"Q3"))=0,"",SUMIFS('10. Activity Data Log'!$U$7:$U$46,'10. Activity Data Log'!$C$7:$C$46,$D58,'10. Activity Data Log'!$AD$7:$AD$46,"Q3")+SUMIFS('11. Distribution Log'!$W$7:$W$46,'11. Distribution Log'!$C$7:$C$46,$D58,'11. Distribution Log'!$AI$7:$AI$46,"Q3")),"")</f>
        <v/>
      </c>
      <c r="Y58" s="72" t="str">
        <f aca="false">IFERROR(IF((SUMIFS('10. Activity Data Log'!$U$7:$U$46,'10. Activity Data Log'!$C$7:$C$46,$D58,'10. Activity Data Log'!$AD$7:$AD$46,"Q4")+SUMIFS('11. Distribution Log'!$W$7:$W$46,'11. Distribution Log'!$C$7:$C$46,$D58,'11. Distribution Log'!$AI$7:$AI$46,"Q4"))=0,"",SUMIFS('10. Activity Data Log'!$U$7:$U$46,'10. Activity Data Log'!$C$7:$C$46,$D58,'10. Activity Data Log'!$AD$7:$AD$46,"Q4")+SUMIFS('11. Distribution Log'!$W$7:$W$46,'11. Distribution Log'!$C$7:$C$46,$D58,'11. Distribution Log'!$AI$7:$AI$46,"Q4")),"")</f>
        <v/>
      </c>
      <c r="Z58" s="72" t="str">
        <f aca="false">IFERROR(IF((SUMIFS('10. Activity Data Log'!$U$7:$U$46,'10. Activity Data Log'!$C$7:$C$46,$D58,'10. Activity Data Log'!$AD$7:$AD$46,"Q5")+SUMIFS('11. Distribution Log'!$W$7:$W$46,'11. Distribution Log'!$C$7:$C$46,$D58,'11. Distribution Log'!$AI$7:$AI$46,"Q5"))=0,"",SUMIFS('10. Activity Data Log'!$U$7:$U$46,'10. Activity Data Log'!$C$7:$C$46,$D58,'10. Activity Data Log'!$AD$7:$AD$46,"Q5")+SUMIFS('11. Distribution Log'!$W$7:$W$46,'11. Distribution Log'!$C$7:$C$46,$D58,'11. Distribution Log'!$AI$7:$AI$46,"Q5")),"")</f>
        <v/>
      </c>
      <c r="AA58" s="72" t="str">
        <f aca="false">IFERROR(IF((SUMIFS('10. Activity Data Log'!$U$7:$U$46,'10. Activity Data Log'!$C$7:$C$46,$D58,'10. Activity Data Log'!$AD$7:$AD$46,"Q6")+SUMIFS('11. Distribution Log'!$W$7:$W$46,'11. Distribution Log'!$C$7:$C$46,$D58,'11. Distribution Log'!$AI$7:$AI$46,"Q6"))=0,"",SUMIFS('10. Activity Data Log'!$U$7:$U$46,'10. Activity Data Log'!$C$7:$C$46,$D58,'10. Activity Data Log'!$AD$7:$AD$46,"Q6")+SUMIFS('11. Distribution Log'!$W$7:$W$46,'11. Distribution Log'!$C$7:$C$46,$D58,'11. Distribution Log'!$AI$7:$AI$46,"Q6")),"")</f>
        <v/>
      </c>
      <c r="AB58" s="72" t="str">
        <f aca="false">IFERROR(IF((SUMIFS('10. Activity Data Log'!$U$7:$U$46,'10. Activity Data Log'!$C$7:$C$46,$D58,'10. Activity Data Log'!$AD$7:$AD$46,"Q7")+SUMIFS('11. Distribution Log'!$W$7:$W$46,'11. Distribution Log'!$C$7:$C$46,$D58,'11. Distribution Log'!$AI$7:$AI$46,"Q7"))=0,"",SUMIFS('10. Activity Data Log'!$U$7:$U$46,'10. Activity Data Log'!$C$7:$C$46,$D58,'10. Activity Data Log'!$AD$7:$AD$46,"Q7")+SUMIFS('11. Distribution Log'!$W$7:$W$46,'11. Distribution Log'!$C$7:$C$46,$D58,'11. Distribution Log'!$AI$7:$AI$46,"Q7")),"")</f>
        <v/>
      </c>
      <c r="AC58" s="72" t="str">
        <f aca="false">IFERROR(IF((SUMIFS('10. Activity Data Log'!$U$7:$U$46,'10. Activity Data Log'!$C$7:$C$46,$D58,'10. Activity Data Log'!$AD$7:$AD$46,"Q8")+SUMIFS('11. Distribution Log'!$W$7:$W$46,'11. Distribution Log'!$C$7:$C$46,$D58,'11. Distribution Log'!$AI$7:$AI$46,"Q8"))=0,"",SUMIFS('10. Activity Data Log'!$U$7:$U$46,'10. Activity Data Log'!$C$7:$C$46,$D58,'10. Activity Data Log'!$AD$7:$AD$46,"Q8")+SUMIFS('11. Distribution Log'!$W$7:$W$46,'11. Distribution Log'!$C$7:$C$46,$D58,'11. Distribution Log'!$AI$7:$AI$46,"Q8")),"")</f>
        <v/>
      </c>
      <c r="AD58" s="68" t="str">
        <f aca="false">IFERROR(IF(SUMPRODUCT((COLUMN(N58:U58)-COLUMN(N58)+1&lt;='7. IPTT'!$C$3)*N(N58:U58))=0,"",SUMPRODUCT((COLUMN(V58:AC58)-COLUMN(V58)+1&lt;='7. IPTT'!$C$3)*N(V58:AC58))/SUMPRODUCT((COLUMN(N58:U58)-COLUMN(N58)+1&lt;='7. IPTT'!$C$3)*N(N58:U58))),"")</f>
        <v/>
      </c>
      <c r="AE58" s="22" t="str">
        <f aca="false">IFERROR(IF(AD58="","No data yet",IF(AD58&gt;=0.9,"On Track",IF(AD58&gt;=0.7,"Slightly Behind","Behind"))),"")</f>
        <v>No data yet</v>
      </c>
      <c r="AF58" s="16" t="s">
        <v>1305</v>
      </c>
      <c r="AG58" s="16" t="s">
        <v>1305</v>
      </c>
      <c r="AH58" s="73" t="n">
        <v>73117.48</v>
      </c>
      <c r="AI58" s="74" t="n">
        <v>10455799.64</v>
      </c>
      <c r="AJ58" s="16" t="str">
        <f aca="false">IFERROR(IF(COUNTIF('10. Activity Data Log'!$C$7:$C$46,$D58)=0,"No Data Log entries yet",COUNTIF('10. Activity Data Log'!$C$7:$C$46,$D58)&amp;" entries logged, avg "&amp;TEXT(AVERAGEIF('10. Activity Data Log'!$C$7:$C$46,$D58,'10. Activity Data Log'!$AB$7:$AB$46),"0%")&amp;" of target"),"")</f>
        <v>No Data Log entries yet</v>
      </c>
      <c r="AK58" s="16" t="str">
        <f aca="false">IFERROR(IF(OR(J58="",J58="-"),"During [reporting period], FIVDB delivered: "&amp;E58&amp;" (target: "&amp;I58&amp;"). Source: "&amp;AM58&amp;".","During [reporting period], FIVDB delivered: "&amp;E58&amp;" (target: "&amp;I58&amp;"), contributing to indicator '"&amp;IFERROR(INDEX('7. IPTT'!$F$15:$F$37,MATCH(IF(ISNUMBER(FIND(",",J58)),TRIM(LEFT(J58,FIND(",",J58)-1)),TRIM(J58)),'7. IPTT'!$C$15:$C$37,0)),"")&amp;"' ("&amp;J58&amp;"). Source: "&amp;AM58&amp;"."),"During [reporting period], FIVDB delivered: "&amp;E58&amp;".")</f>
        <v>During [reporting period], FIVDB delivered: Provide Dignity Kits and Menstrual and Hygiene Management (MHM) kit support to adolescent girls (CP side). (target: 1,814 persons), contributing to indicator '(MANDATORY) % of persons who receive appropriate PSS reporting improved mental health and psychosocial well-being OR capacities to cope' (R2-I4). Source: FIVDB Detailed Budget, rows 166-167 (2.3.7 Dignity/MHM Kit support to adolescent girls).</v>
      </c>
      <c r="AL58" s="16" t="s">
        <v>1189</v>
      </c>
      <c r="AM58" s="16" t="s">
        <v>1329</v>
      </c>
      <c r="AN58" s="22" t="s">
        <v>649</v>
      </c>
      <c r="AO58" s="16" t="s">
        <v>1330</v>
      </c>
    </row>
    <row r="59" customFormat="false" ht="19.5" hidden="false" customHeight="true" outlineLevel="0" collapsed="false">
      <c r="B59" s="66" t="s">
        <v>1331</v>
      </c>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row>
    <row r="60" customFormat="false" ht="99" hidden="false" customHeight="true" outlineLevel="0" collapsed="false">
      <c r="B60" s="22" t="s">
        <v>941</v>
      </c>
      <c r="C60" s="22" t="s">
        <v>1332</v>
      </c>
      <c r="D60" s="22" t="s">
        <v>693</v>
      </c>
      <c r="E60" s="16" t="s">
        <v>694</v>
      </c>
      <c r="F60" s="16"/>
      <c r="G60" s="16" t="s">
        <v>1194</v>
      </c>
      <c r="H60" s="16" t="s">
        <v>1103</v>
      </c>
      <c r="I60" s="16" t="s">
        <v>1333</v>
      </c>
      <c r="J60" s="22" t="s">
        <v>972</v>
      </c>
      <c r="K60" s="16" t="s">
        <v>1288</v>
      </c>
      <c r="L60" s="22" t="n">
        <v>240</v>
      </c>
      <c r="M60" s="22" t="s">
        <v>1260</v>
      </c>
      <c r="N60" s="49"/>
      <c r="O60" s="49"/>
      <c r="P60" s="49"/>
      <c r="Q60" s="49"/>
      <c r="R60" s="49"/>
      <c r="S60" s="49"/>
      <c r="T60" s="49"/>
      <c r="U60" s="49"/>
      <c r="V60" s="72" t="str">
        <f aca="false">IFERROR(IF((SUMIFS('10. Activity Data Log'!$U$7:$U$46,'10. Activity Data Log'!$C$7:$C$46,$D60,'10. Activity Data Log'!$AD$7:$AD$46,"Q1")+SUMIFS('11. Distribution Log'!$W$7:$W$46,'11. Distribution Log'!$C$7:$C$46,$D60,'11. Distribution Log'!$AI$7:$AI$46,"Q1"))=0,"",SUMIFS('10. Activity Data Log'!$U$7:$U$46,'10. Activity Data Log'!$C$7:$C$46,$D60,'10. Activity Data Log'!$AD$7:$AD$46,"Q1")+SUMIFS('11. Distribution Log'!$W$7:$W$46,'11. Distribution Log'!$C$7:$C$46,$D60,'11. Distribution Log'!$AI$7:$AI$46,"Q1")),"")</f>
        <v/>
      </c>
      <c r="W60" s="72" t="str">
        <f aca="false">IFERROR(IF((SUMIFS('10. Activity Data Log'!$U$7:$U$46,'10. Activity Data Log'!$C$7:$C$46,$D60,'10. Activity Data Log'!$AD$7:$AD$46,"Q2")+SUMIFS('11. Distribution Log'!$W$7:$W$46,'11. Distribution Log'!$C$7:$C$46,$D60,'11. Distribution Log'!$AI$7:$AI$46,"Q2"))=0,"",SUMIFS('10. Activity Data Log'!$U$7:$U$46,'10. Activity Data Log'!$C$7:$C$46,$D60,'10. Activity Data Log'!$AD$7:$AD$46,"Q2")+SUMIFS('11. Distribution Log'!$W$7:$W$46,'11. Distribution Log'!$C$7:$C$46,$D60,'11. Distribution Log'!$AI$7:$AI$46,"Q2")),"")</f>
        <v/>
      </c>
      <c r="X60" s="72" t="str">
        <f aca="false">IFERROR(IF((SUMIFS('10. Activity Data Log'!$U$7:$U$46,'10. Activity Data Log'!$C$7:$C$46,$D60,'10. Activity Data Log'!$AD$7:$AD$46,"Q3")+SUMIFS('11. Distribution Log'!$W$7:$W$46,'11. Distribution Log'!$C$7:$C$46,$D60,'11. Distribution Log'!$AI$7:$AI$46,"Q3"))=0,"",SUMIFS('10. Activity Data Log'!$U$7:$U$46,'10. Activity Data Log'!$C$7:$C$46,$D60,'10. Activity Data Log'!$AD$7:$AD$46,"Q3")+SUMIFS('11. Distribution Log'!$W$7:$W$46,'11. Distribution Log'!$C$7:$C$46,$D60,'11. Distribution Log'!$AI$7:$AI$46,"Q3")),"")</f>
        <v/>
      </c>
      <c r="Y60" s="72" t="str">
        <f aca="false">IFERROR(IF((SUMIFS('10. Activity Data Log'!$U$7:$U$46,'10. Activity Data Log'!$C$7:$C$46,$D60,'10. Activity Data Log'!$AD$7:$AD$46,"Q4")+SUMIFS('11. Distribution Log'!$W$7:$W$46,'11. Distribution Log'!$C$7:$C$46,$D60,'11. Distribution Log'!$AI$7:$AI$46,"Q4"))=0,"",SUMIFS('10. Activity Data Log'!$U$7:$U$46,'10. Activity Data Log'!$C$7:$C$46,$D60,'10. Activity Data Log'!$AD$7:$AD$46,"Q4")+SUMIFS('11. Distribution Log'!$W$7:$W$46,'11. Distribution Log'!$C$7:$C$46,$D60,'11. Distribution Log'!$AI$7:$AI$46,"Q4")),"")</f>
        <v/>
      </c>
      <c r="Z60" s="72" t="str">
        <f aca="false">IFERROR(IF((SUMIFS('10. Activity Data Log'!$U$7:$U$46,'10. Activity Data Log'!$C$7:$C$46,$D60,'10. Activity Data Log'!$AD$7:$AD$46,"Q5")+SUMIFS('11. Distribution Log'!$W$7:$W$46,'11. Distribution Log'!$C$7:$C$46,$D60,'11. Distribution Log'!$AI$7:$AI$46,"Q5"))=0,"",SUMIFS('10. Activity Data Log'!$U$7:$U$46,'10. Activity Data Log'!$C$7:$C$46,$D60,'10. Activity Data Log'!$AD$7:$AD$46,"Q5")+SUMIFS('11. Distribution Log'!$W$7:$W$46,'11. Distribution Log'!$C$7:$C$46,$D60,'11. Distribution Log'!$AI$7:$AI$46,"Q5")),"")</f>
        <v/>
      </c>
      <c r="AA60" s="72" t="str">
        <f aca="false">IFERROR(IF((SUMIFS('10. Activity Data Log'!$U$7:$U$46,'10. Activity Data Log'!$C$7:$C$46,$D60,'10. Activity Data Log'!$AD$7:$AD$46,"Q6")+SUMIFS('11. Distribution Log'!$W$7:$W$46,'11. Distribution Log'!$C$7:$C$46,$D60,'11. Distribution Log'!$AI$7:$AI$46,"Q6"))=0,"",SUMIFS('10. Activity Data Log'!$U$7:$U$46,'10. Activity Data Log'!$C$7:$C$46,$D60,'10. Activity Data Log'!$AD$7:$AD$46,"Q6")+SUMIFS('11. Distribution Log'!$W$7:$W$46,'11. Distribution Log'!$C$7:$C$46,$D60,'11. Distribution Log'!$AI$7:$AI$46,"Q6")),"")</f>
        <v/>
      </c>
      <c r="AB60" s="72" t="str">
        <f aca="false">IFERROR(IF((SUMIFS('10. Activity Data Log'!$U$7:$U$46,'10. Activity Data Log'!$C$7:$C$46,$D60,'10. Activity Data Log'!$AD$7:$AD$46,"Q7")+SUMIFS('11. Distribution Log'!$W$7:$W$46,'11. Distribution Log'!$C$7:$C$46,$D60,'11. Distribution Log'!$AI$7:$AI$46,"Q7"))=0,"",SUMIFS('10. Activity Data Log'!$U$7:$U$46,'10. Activity Data Log'!$C$7:$C$46,$D60,'10. Activity Data Log'!$AD$7:$AD$46,"Q7")+SUMIFS('11. Distribution Log'!$W$7:$W$46,'11. Distribution Log'!$C$7:$C$46,$D60,'11. Distribution Log'!$AI$7:$AI$46,"Q7")),"")</f>
        <v/>
      </c>
      <c r="AC60" s="72" t="str">
        <f aca="false">IFERROR(IF((SUMIFS('10. Activity Data Log'!$U$7:$U$46,'10. Activity Data Log'!$C$7:$C$46,$D60,'10. Activity Data Log'!$AD$7:$AD$46,"Q8")+SUMIFS('11. Distribution Log'!$W$7:$W$46,'11. Distribution Log'!$C$7:$C$46,$D60,'11. Distribution Log'!$AI$7:$AI$46,"Q8"))=0,"",SUMIFS('10. Activity Data Log'!$U$7:$U$46,'10. Activity Data Log'!$C$7:$C$46,$D60,'10. Activity Data Log'!$AD$7:$AD$46,"Q8")+SUMIFS('11. Distribution Log'!$W$7:$W$46,'11. Distribution Log'!$C$7:$C$46,$D60,'11. Distribution Log'!$AI$7:$AI$46,"Q8")),"")</f>
        <v/>
      </c>
      <c r="AD60" s="68" t="str">
        <f aca="false">IFERROR(IF(SUMPRODUCT((COLUMN(N60:U60)-COLUMN(N60)+1&lt;='7. IPTT'!$C$3)*N(N60:U60))=0,"",SUMPRODUCT((COLUMN(V60:AC60)-COLUMN(V60)+1&lt;='7. IPTT'!$C$3)*N(V60:AC60))/SUMPRODUCT((COLUMN(N60:U60)-COLUMN(N60)+1&lt;='7. IPTT'!$C$3)*N(N60:U60))),"")</f>
        <v/>
      </c>
      <c r="AE60" s="22" t="str">
        <f aca="false">IFERROR(IF(AD60="","No data yet",IF(AD60&gt;=0.9,"On Track",IF(AD60&gt;=0.7,"Slightly Behind","Behind"))),"")</f>
        <v>No data yet</v>
      </c>
      <c r="AF60" s="16" t="s">
        <v>1334</v>
      </c>
      <c r="AG60" s="16" t="s">
        <v>1334</v>
      </c>
      <c r="AH60" s="73" t="n">
        <v>82676.92</v>
      </c>
      <c r="AI60" s="74" t="n">
        <v>11822799.56</v>
      </c>
      <c r="AJ60" s="16" t="str">
        <f aca="false">IFERROR(IF(COUNTIF('10. Activity Data Log'!$C$7:$C$46,$D60)=0,"No Data Log entries yet",COUNTIF('10. Activity Data Log'!$C$7:$C$46,$D60)&amp;" entries logged, avg "&amp;TEXT(AVERAGEIF('10. Activity Data Log'!$C$7:$C$46,$D60,'10. Activity Data Log'!$AB$7:$AB$46),"0%")&amp;" of target"),"")</f>
        <v>No Data Log entries yet</v>
      </c>
      <c r="AK60" s="16" t="str">
        <f aca="false">IFERROR(IF(OR(J60="",J60="-"),"During [reporting period], FIVDB delivered: "&amp;E60&amp;" (target: "&amp;I60&amp;"). Source: "&amp;AM60&amp;".","During [reporting period], FIVDB delivered: "&amp;E60&amp;" (target: "&amp;I60&amp;"), contributing to indicator '"&amp;IFERROR(INDEX('7. IPTT'!$F$15:$F$37,MATCH(IF(ISNUMBER(FIND(",",J60)),TRIM(LEFT(J60,FIND(",",J60)-1)),TRIM(J60)),'7. IPTT'!$C$15:$C$37,0)),"")&amp;"' ("&amp;J60&amp;"). Source: "&amp;AM60&amp;"."),"During [reporting period], FIVDB delivered: "&amp;E60&amp;".")</f>
        <v>During [reporting period], FIVDB delivered: Deliver DRR &amp; Climate Resilience training for community leaders and volunteers. (target: 240 persons, 2 days), contributing to indicator 'Average % knowledge increase amongst participants on the protection subject in focus' (R2-I3). Source: FIVDB Detailed Budget, rows 170-173 (2.4.1 Training on DRR &amp; Climate Resilience).</v>
      </c>
      <c r="AL60" s="16" t="s">
        <v>1335</v>
      </c>
      <c r="AM60" s="16" t="s">
        <v>1336</v>
      </c>
      <c r="AN60" s="22" t="s">
        <v>649</v>
      </c>
      <c r="AO60" s="16" t="s">
        <v>1337</v>
      </c>
    </row>
    <row r="61" customFormat="false" ht="99" hidden="false" customHeight="true" outlineLevel="0" collapsed="false">
      <c r="B61" s="22" t="s">
        <v>941</v>
      </c>
      <c r="C61" s="22" t="s">
        <v>1332</v>
      </c>
      <c r="D61" s="22" t="s">
        <v>695</v>
      </c>
      <c r="E61" s="16" t="s">
        <v>696</v>
      </c>
      <c r="F61" s="16"/>
      <c r="G61" s="16" t="s">
        <v>1312</v>
      </c>
      <c r="H61" s="16" t="s">
        <v>1103</v>
      </c>
      <c r="I61" s="16" t="s">
        <v>1338</v>
      </c>
      <c r="J61" s="22" t="s">
        <v>186</v>
      </c>
      <c r="K61" s="16" t="s">
        <v>1304</v>
      </c>
      <c r="L61" s="22" t="n">
        <v>4320</v>
      </c>
      <c r="M61" s="22" t="s">
        <v>1339</v>
      </c>
      <c r="N61" s="49"/>
      <c r="O61" s="49"/>
      <c r="P61" s="49"/>
      <c r="Q61" s="49"/>
      <c r="R61" s="49"/>
      <c r="S61" s="49"/>
      <c r="T61" s="49"/>
      <c r="U61" s="49"/>
      <c r="V61" s="72" t="str">
        <f aca="false">IFERROR(IF((SUMIFS('10. Activity Data Log'!$U$7:$U$46,'10. Activity Data Log'!$C$7:$C$46,$D61,'10. Activity Data Log'!$AD$7:$AD$46,"Q1")+SUMIFS('11. Distribution Log'!$W$7:$W$46,'11. Distribution Log'!$C$7:$C$46,$D61,'11. Distribution Log'!$AI$7:$AI$46,"Q1"))=0,"",SUMIFS('10. Activity Data Log'!$U$7:$U$46,'10. Activity Data Log'!$C$7:$C$46,$D61,'10. Activity Data Log'!$AD$7:$AD$46,"Q1")+SUMIFS('11. Distribution Log'!$W$7:$W$46,'11. Distribution Log'!$C$7:$C$46,$D61,'11. Distribution Log'!$AI$7:$AI$46,"Q1")),"")</f>
        <v/>
      </c>
      <c r="W61" s="72" t="str">
        <f aca="false">IFERROR(IF((SUMIFS('10. Activity Data Log'!$U$7:$U$46,'10. Activity Data Log'!$C$7:$C$46,$D61,'10. Activity Data Log'!$AD$7:$AD$46,"Q2")+SUMIFS('11. Distribution Log'!$W$7:$W$46,'11. Distribution Log'!$C$7:$C$46,$D61,'11. Distribution Log'!$AI$7:$AI$46,"Q2"))=0,"",SUMIFS('10. Activity Data Log'!$U$7:$U$46,'10. Activity Data Log'!$C$7:$C$46,$D61,'10. Activity Data Log'!$AD$7:$AD$46,"Q2")+SUMIFS('11. Distribution Log'!$W$7:$W$46,'11. Distribution Log'!$C$7:$C$46,$D61,'11. Distribution Log'!$AI$7:$AI$46,"Q2")),"")</f>
        <v/>
      </c>
      <c r="X61" s="72" t="str">
        <f aca="false">IFERROR(IF((SUMIFS('10. Activity Data Log'!$U$7:$U$46,'10. Activity Data Log'!$C$7:$C$46,$D61,'10. Activity Data Log'!$AD$7:$AD$46,"Q3")+SUMIFS('11. Distribution Log'!$W$7:$W$46,'11. Distribution Log'!$C$7:$C$46,$D61,'11. Distribution Log'!$AI$7:$AI$46,"Q3"))=0,"",SUMIFS('10. Activity Data Log'!$U$7:$U$46,'10. Activity Data Log'!$C$7:$C$46,$D61,'10. Activity Data Log'!$AD$7:$AD$46,"Q3")+SUMIFS('11. Distribution Log'!$W$7:$W$46,'11. Distribution Log'!$C$7:$C$46,$D61,'11. Distribution Log'!$AI$7:$AI$46,"Q3")),"")</f>
        <v/>
      </c>
      <c r="Y61" s="72" t="str">
        <f aca="false">IFERROR(IF((SUMIFS('10. Activity Data Log'!$U$7:$U$46,'10. Activity Data Log'!$C$7:$C$46,$D61,'10. Activity Data Log'!$AD$7:$AD$46,"Q4")+SUMIFS('11. Distribution Log'!$W$7:$W$46,'11. Distribution Log'!$C$7:$C$46,$D61,'11. Distribution Log'!$AI$7:$AI$46,"Q4"))=0,"",SUMIFS('10. Activity Data Log'!$U$7:$U$46,'10. Activity Data Log'!$C$7:$C$46,$D61,'10. Activity Data Log'!$AD$7:$AD$46,"Q4")+SUMIFS('11. Distribution Log'!$W$7:$W$46,'11. Distribution Log'!$C$7:$C$46,$D61,'11. Distribution Log'!$AI$7:$AI$46,"Q4")),"")</f>
        <v/>
      </c>
      <c r="Z61" s="72" t="str">
        <f aca="false">IFERROR(IF((SUMIFS('10. Activity Data Log'!$U$7:$U$46,'10. Activity Data Log'!$C$7:$C$46,$D61,'10. Activity Data Log'!$AD$7:$AD$46,"Q5")+SUMIFS('11. Distribution Log'!$W$7:$W$46,'11. Distribution Log'!$C$7:$C$46,$D61,'11. Distribution Log'!$AI$7:$AI$46,"Q5"))=0,"",SUMIFS('10. Activity Data Log'!$U$7:$U$46,'10. Activity Data Log'!$C$7:$C$46,$D61,'10. Activity Data Log'!$AD$7:$AD$46,"Q5")+SUMIFS('11. Distribution Log'!$W$7:$W$46,'11. Distribution Log'!$C$7:$C$46,$D61,'11. Distribution Log'!$AI$7:$AI$46,"Q5")),"")</f>
        <v/>
      </c>
      <c r="AA61" s="72" t="str">
        <f aca="false">IFERROR(IF((SUMIFS('10. Activity Data Log'!$U$7:$U$46,'10. Activity Data Log'!$C$7:$C$46,$D61,'10. Activity Data Log'!$AD$7:$AD$46,"Q6")+SUMIFS('11. Distribution Log'!$W$7:$W$46,'11. Distribution Log'!$C$7:$C$46,$D61,'11. Distribution Log'!$AI$7:$AI$46,"Q6"))=0,"",SUMIFS('10. Activity Data Log'!$U$7:$U$46,'10. Activity Data Log'!$C$7:$C$46,$D61,'10. Activity Data Log'!$AD$7:$AD$46,"Q6")+SUMIFS('11. Distribution Log'!$W$7:$W$46,'11. Distribution Log'!$C$7:$C$46,$D61,'11. Distribution Log'!$AI$7:$AI$46,"Q6")),"")</f>
        <v/>
      </c>
      <c r="AB61" s="72" t="str">
        <f aca="false">IFERROR(IF((SUMIFS('10. Activity Data Log'!$U$7:$U$46,'10. Activity Data Log'!$C$7:$C$46,$D61,'10. Activity Data Log'!$AD$7:$AD$46,"Q7")+SUMIFS('11. Distribution Log'!$W$7:$W$46,'11. Distribution Log'!$C$7:$C$46,$D61,'11. Distribution Log'!$AI$7:$AI$46,"Q7"))=0,"",SUMIFS('10. Activity Data Log'!$U$7:$U$46,'10. Activity Data Log'!$C$7:$C$46,$D61,'10. Activity Data Log'!$AD$7:$AD$46,"Q7")+SUMIFS('11. Distribution Log'!$W$7:$W$46,'11. Distribution Log'!$C$7:$C$46,$D61,'11. Distribution Log'!$AI$7:$AI$46,"Q7")),"")</f>
        <v/>
      </c>
      <c r="AC61" s="72" t="str">
        <f aca="false">IFERROR(IF((SUMIFS('10. Activity Data Log'!$U$7:$U$46,'10. Activity Data Log'!$C$7:$C$46,$D61,'10. Activity Data Log'!$AD$7:$AD$46,"Q8")+SUMIFS('11. Distribution Log'!$W$7:$W$46,'11. Distribution Log'!$C$7:$C$46,$D61,'11. Distribution Log'!$AI$7:$AI$46,"Q8"))=0,"",SUMIFS('10. Activity Data Log'!$U$7:$U$46,'10. Activity Data Log'!$C$7:$C$46,$D61,'10. Activity Data Log'!$AD$7:$AD$46,"Q8")+SUMIFS('11. Distribution Log'!$W$7:$W$46,'11. Distribution Log'!$C$7:$C$46,$D61,'11. Distribution Log'!$AI$7:$AI$46,"Q8")),"")</f>
        <v/>
      </c>
      <c r="AD61" s="68" t="str">
        <f aca="false">IFERROR(IF(SUMPRODUCT((COLUMN(N61:U61)-COLUMN(N61)+1&lt;='7. IPTT'!$C$3)*N(N61:U61))=0,"",SUMPRODUCT((COLUMN(V61:AC61)-COLUMN(V61)+1&lt;='7. IPTT'!$C$3)*N(V61:AC61))/SUMPRODUCT((COLUMN(N61:U61)-COLUMN(N61)+1&lt;='7. IPTT'!$C$3)*N(N61:U61))),"")</f>
        <v/>
      </c>
      <c r="AE61" s="22" t="str">
        <f aca="false">IFERROR(IF(AD61="","No data yet",IF(AD61&gt;=0.9,"On Track",IF(AD61&gt;=0.7,"Slightly Behind","Behind"))),"")</f>
        <v>No data yet</v>
      </c>
      <c r="AF61" s="16" t="s">
        <v>1334</v>
      </c>
      <c r="AG61" s="16" t="s">
        <v>1334</v>
      </c>
      <c r="AH61" s="73" t="n">
        <v>82676.92</v>
      </c>
      <c r="AI61" s="74" t="n">
        <v>11822799.56</v>
      </c>
      <c r="AJ61" s="16" t="str">
        <f aca="false">IFERROR(IF(COUNTIF('10. Activity Data Log'!$C$7:$C$46,$D61)=0,"No Data Log entries yet",COUNTIF('10. Activity Data Log'!$C$7:$C$46,$D61)&amp;" entries logged, avg "&amp;TEXT(AVERAGEIF('10. Activity Data Log'!$C$7:$C$46,$D61,'10. Activity Data Log'!$AB$7:$AB$46),"0%")&amp;" of target"),"")</f>
        <v>No Data Log entries yet</v>
      </c>
      <c r="AK61" s="16" t="str">
        <f aca="false">IFERROR(IF(OR(J61="",J61="-"),"During [reporting period], FIVDB delivered: "&amp;E61&amp;" (target: "&amp;I61&amp;"). Source: "&amp;AM61&amp;".","During [reporting period], FIVDB delivered: "&amp;E61&amp;" (target: "&amp;I61&amp;"), contributing to indicator '"&amp;IFERROR(INDEX('7. IPTT'!$F$15:$F$37,MATCH(IF(ISNUMBER(FIND(",",J61)),TRIM(LEFT(J61,FIND(",",J61)-1)),TRIM(J61)),'7. IPTT'!$C$15:$C$37,0)),"")&amp;"' ("&amp;J61&amp;"). Source: "&amp;AM61&amp;"."),"During [reporting period], FIVDB delivered: "&amp;E61&amp;".")</f>
        <v>During [reporting period], FIVDB delivered: Deliver PALS sessions for parents and adolescents (10-14 sessions per group). (target: 4,320 adolescents + 4,320 caregivers), contributing to indicator '(MANDATORY) % of persons who receive appropriate PSS reporting improved mental health and psychosocial well-being OR capacities to cope' (R2-I4). Source: FIVDB Detailed Budget, rows 174-178 (2.4.2 Provision of PALS sessions for Parents and Adolescents).</v>
      </c>
      <c r="AL61" s="16" t="s">
        <v>1340</v>
      </c>
      <c r="AM61" s="16" t="s">
        <v>1341</v>
      </c>
      <c r="AN61" s="22" t="s">
        <v>649</v>
      </c>
      <c r="AO61" s="16" t="s">
        <v>1342</v>
      </c>
    </row>
    <row r="62" customFormat="false" ht="99" hidden="false" customHeight="true" outlineLevel="0" collapsed="false">
      <c r="B62" s="22" t="s">
        <v>941</v>
      </c>
      <c r="C62" s="22" t="s">
        <v>1332</v>
      </c>
      <c r="D62" s="22" t="s">
        <v>697</v>
      </c>
      <c r="E62" s="16" t="s">
        <v>698</v>
      </c>
      <c r="F62" s="16"/>
      <c r="G62" s="16" t="s">
        <v>1243</v>
      </c>
      <c r="H62" s="16" t="s">
        <v>1103</v>
      </c>
      <c r="I62" s="16" t="s">
        <v>1343</v>
      </c>
      <c r="J62" s="22" t="s">
        <v>186</v>
      </c>
      <c r="K62" s="16" t="s">
        <v>1304</v>
      </c>
      <c r="L62" s="22" t="n">
        <v>136</v>
      </c>
      <c r="M62" s="22" t="s">
        <v>1344</v>
      </c>
      <c r="N62" s="49"/>
      <c r="O62" s="49"/>
      <c r="P62" s="49"/>
      <c r="Q62" s="49"/>
      <c r="R62" s="49"/>
      <c r="S62" s="49"/>
      <c r="T62" s="49"/>
      <c r="U62" s="49"/>
      <c r="V62" s="72" t="str">
        <f aca="false">IFERROR(IF((SUMIFS('10. Activity Data Log'!$U$7:$U$46,'10. Activity Data Log'!$C$7:$C$46,$D62,'10. Activity Data Log'!$AD$7:$AD$46,"Q1")+SUMIFS('11. Distribution Log'!$W$7:$W$46,'11. Distribution Log'!$C$7:$C$46,$D62,'11. Distribution Log'!$AI$7:$AI$46,"Q1"))=0,"",SUMIFS('10. Activity Data Log'!$U$7:$U$46,'10. Activity Data Log'!$C$7:$C$46,$D62,'10. Activity Data Log'!$AD$7:$AD$46,"Q1")+SUMIFS('11. Distribution Log'!$W$7:$W$46,'11. Distribution Log'!$C$7:$C$46,$D62,'11. Distribution Log'!$AI$7:$AI$46,"Q1")),"")</f>
        <v/>
      </c>
      <c r="W62" s="72" t="str">
        <f aca="false">IFERROR(IF((SUMIFS('10. Activity Data Log'!$U$7:$U$46,'10. Activity Data Log'!$C$7:$C$46,$D62,'10. Activity Data Log'!$AD$7:$AD$46,"Q2")+SUMIFS('11. Distribution Log'!$W$7:$W$46,'11. Distribution Log'!$C$7:$C$46,$D62,'11. Distribution Log'!$AI$7:$AI$46,"Q2"))=0,"",SUMIFS('10. Activity Data Log'!$U$7:$U$46,'10. Activity Data Log'!$C$7:$C$46,$D62,'10. Activity Data Log'!$AD$7:$AD$46,"Q2")+SUMIFS('11. Distribution Log'!$W$7:$W$46,'11. Distribution Log'!$C$7:$C$46,$D62,'11. Distribution Log'!$AI$7:$AI$46,"Q2")),"")</f>
        <v/>
      </c>
      <c r="X62" s="72" t="str">
        <f aca="false">IFERROR(IF((SUMIFS('10. Activity Data Log'!$U$7:$U$46,'10. Activity Data Log'!$C$7:$C$46,$D62,'10. Activity Data Log'!$AD$7:$AD$46,"Q3")+SUMIFS('11. Distribution Log'!$W$7:$W$46,'11. Distribution Log'!$C$7:$C$46,$D62,'11. Distribution Log'!$AI$7:$AI$46,"Q3"))=0,"",SUMIFS('10. Activity Data Log'!$U$7:$U$46,'10. Activity Data Log'!$C$7:$C$46,$D62,'10. Activity Data Log'!$AD$7:$AD$46,"Q3")+SUMIFS('11. Distribution Log'!$W$7:$W$46,'11. Distribution Log'!$C$7:$C$46,$D62,'11. Distribution Log'!$AI$7:$AI$46,"Q3")),"")</f>
        <v/>
      </c>
      <c r="Y62" s="72" t="str">
        <f aca="false">IFERROR(IF((SUMIFS('10. Activity Data Log'!$U$7:$U$46,'10. Activity Data Log'!$C$7:$C$46,$D62,'10. Activity Data Log'!$AD$7:$AD$46,"Q4")+SUMIFS('11. Distribution Log'!$W$7:$W$46,'11. Distribution Log'!$C$7:$C$46,$D62,'11. Distribution Log'!$AI$7:$AI$46,"Q4"))=0,"",SUMIFS('10. Activity Data Log'!$U$7:$U$46,'10. Activity Data Log'!$C$7:$C$46,$D62,'10. Activity Data Log'!$AD$7:$AD$46,"Q4")+SUMIFS('11. Distribution Log'!$W$7:$W$46,'11. Distribution Log'!$C$7:$C$46,$D62,'11. Distribution Log'!$AI$7:$AI$46,"Q4")),"")</f>
        <v/>
      </c>
      <c r="Z62" s="72" t="str">
        <f aca="false">IFERROR(IF((SUMIFS('10. Activity Data Log'!$U$7:$U$46,'10. Activity Data Log'!$C$7:$C$46,$D62,'10. Activity Data Log'!$AD$7:$AD$46,"Q5")+SUMIFS('11. Distribution Log'!$W$7:$W$46,'11. Distribution Log'!$C$7:$C$46,$D62,'11. Distribution Log'!$AI$7:$AI$46,"Q5"))=0,"",SUMIFS('10. Activity Data Log'!$U$7:$U$46,'10. Activity Data Log'!$C$7:$C$46,$D62,'10. Activity Data Log'!$AD$7:$AD$46,"Q5")+SUMIFS('11. Distribution Log'!$W$7:$W$46,'11. Distribution Log'!$C$7:$C$46,$D62,'11. Distribution Log'!$AI$7:$AI$46,"Q5")),"")</f>
        <v/>
      </c>
      <c r="AA62" s="72" t="str">
        <f aca="false">IFERROR(IF((SUMIFS('10. Activity Data Log'!$U$7:$U$46,'10. Activity Data Log'!$C$7:$C$46,$D62,'10. Activity Data Log'!$AD$7:$AD$46,"Q6")+SUMIFS('11. Distribution Log'!$W$7:$W$46,'11. Distribution Log'!$C$7:$C$46,$D62,'11. Distribution Log'!$AI$7:$AI$46,"Q6"))=0,"",SUMIFS('10. Activity Data Log'!$U$7:$U$46,'10. Activity Data Log'!$C$7:$C$46,$D62,'10. Activity Data Log'!$AD$7:$AD$46,"Q6")+SUMIFS('11. Distribution Log'!$W$7:$W$46,'11. Distribution Log'!$C$7:$C$46,$D62,'11. Distribution Log'!$AI$7:$AI$46,"Q6")),"")</f>
        <v/>
      </c>
      <c r="AB62" s="72" t="str">
        <f aca="false">IFERROR(IF((SUMIFS('10. Activity Data Log'!$U$7:$U$46,'10. Activity Data Log'!$C$7:$C$46,$D62,'10. Activity Data Log'!$AD$7:$AD$46,"Q7")+SUMIFS('11. Distribution Log'!$W$7:$W$46,'11. Distribution Log'!$C$7:$C$46,$D62,'11. Distribution Log'!$AI$7:$AI$46,"Q7"))=0,"",SUMIFS('10. Activity Data Log'!$U$7:$U$46,'10. Activity Data Log'!$C$7:$C$46,$D62,'10. Activity Data Log'!$AD$7:$AD$46,"Q7")+SUMIFS('11. Distribution Log'!$W$7:$W$46,'11. Distribution Log'!$C$7:$C$46,$D62,'11. Distribution Log'!$AI$7:$AI$46,"Q7")),"")</f>
        <v/>
      </c>
      <c r="AC62" s="72" t="str">
        <f aca="false">IFERROR(IF((SUMIFS('10. Activity Data Log'!$U$7:$U$46,'10. Activity Data Log'!$C$7:$C$46,$D62,'10. Activity Data Log'!$AD$7:$AD$46,"Q8")+SUMIFS('11. Distribution Log'!$W$7:$W$46,'11. Distribution Log'!$C$7:$C$46,$D62,'11. Distribution Log'!$AI$7:$AI$46,"Q8"))=0,"",SUMIFS('10. Activity Data Log'!$U$7:$U$46,'10. Activity Data Log'!$C$7:$C$46,$D62,'10. Activity Data Log'!$AD$7:$AD$46,"Q8")+SUMIFS('11. Distribution Log'!$W$7:$W$46,'11. Distribution Log'!$C$7:$C$46,$D62,'11. Distribution Log'!$AI$7:$AI$46,"Q8")),"")</f>
        <v/>
      </c>
      <c r="AD62" s="68" t="str">
        <f aca="false">IFERROR(IF(SUMPRODUCT((COLUMN(N62:U62)-COLUMN(N62)+1&lt;='7. IPTT'!$C$3)*N(N62:U62))=0,"",SUMPRODUCT((COLUMN(V62:AC62)-COLUMN(V62)+1&lt;='7. IPTT'!$C$3)*N(V62:AC62))/SUMPRODUCT((COLUMN(N62:U62)-COLUMN(N62)+1&lt;='7. IPTT'!$C$3)*N(N62:U62))),"")</f>
        <v/>
      </c>
      <c r="AE62" s="22" t="str">
        <f aca="false">IFERROR(IF(AD62="","No data yet",IF(AD62&gt;=0.9,"On Track",IF(AD62&gt;=0.7,"Slightly Behind","Behind"))),"")</f>
        <v>No data yet</v>
      </c>
      <c r="AF62" s="16" t="s">
        <v>1334</v>
      </c>
      <c r="AG62" s="16" t="s">
        <v>1334</v>
      </c>
      <c r="AH62" s="73" t="n">
        <v>82676.92</v>
      </c>
      <c r="AI62" s="74" t="n">
        <v>11822799.56</v>
      </c>
      <c r="AJ62" s="16" t="str">
        <f aca="false">IFERROR(IF(COUNTIF('10. Activity Data Log'!$C$7:$C$46,$D62)=0,"No Data Log entries yet",COUNTIF('10. Activity Data Log'!$C$7:$C$46,$D62)&amp;" entries logged, avg "&amp;TEXT(AVERAGEIF('10. Activity Data Log'!$C$7:$C$46,$D62,'10. Activity Data Log'!$AB$7:$AB$46),"0%")&amp;" of target"),"")</f>
        <v>No Data Log entries yet</v>
      </c>
      <c r="AK62" s="16" t="str">
        <f aca="false">IFERROR(IF(OR(J62="",J62="-"),"During [reporting period], FIVDB delivered: "&amp;E62&amp;" (target: "&amp;I62&amp;"). Source: "&amp;AM62&amp;".","During [reporting period], FIVDB delivered: "&amp;E62&amp;" (target: "&amp;I62&amp;"), contributing to indicator '"&amp;IFERROR(INDEX('7. IPTT'!$F$15:$F$37,MATCH(IF(ISNUMBER(FIND(",",J62)),TRIM(LEFT(J62,FIND(",",J62)-1)),TRIM(J62)),'7. IPTT'!$C$15:$C$37,0)),"")&amp;"' ("&amp;J62&amp;"). Source: "&amp;AM62&amp;"."),"During [reporting period], FIVDB delivered: "&amp;E62&amp;".")</f>
        <v>During [reporting period], FIVDB delivered: Form/reform CBCPCs and hold monthly/bi-monthly meetings (2 CBCPCs per camp, 17 members each). (target: 136 members, monthly x10), contributing to indicator '(MANDATORY) % of persons who receive appropriate PSS reporting improved mental health and psychosocial well-being OR capacities to cope' (R2-I4). Source: FIVDB Detailed Budget, rows 179-181 (2.4.3 CBCPC formation, reformation and monthly/bi-monthly meetings).</v>
      </c>
      <c r="AL62" s="16" t="s">
        <v>1246</v>
      </c>
      <c r="AM62" s="16" t="s">
        <v>1345</v>
      </c>
      <c r="AN62" s="22" t="s">
        <v>649</v>
      </c>
      <c r="AO62" s="16" t="s">
        <v>1346</v>
      </c>
    </row>
    <row r="63" customFormat="false" ht="99" hidden="false" customHeight="true" outlineLevel="0" collapsed="false">
      <c r="B63" s="22" t="s">
        <v>941</v>
      </c>
      <c r="C63" s="22" t="s">
        <v>1332</v>
      </c>
      <c r="D63" s="22" t="s">
        <v>699</v>
      </c>
      <c r="E63" s="16" t="s">
        <v>700</v>
      </c>
      <c r="F63" s="16"/>
      <c r="G63" s="16" t="s">
        <v>1194</v>
      </c>
      <c r="H63" s="16" t="s">
        <v>1103</v>
      </c>
      <c r="I63" s="16" t="s">
        <v>1347</v>
      </c>
      <c r="J63" s="22" t="s">
        <v>972</v>
      </c>
      <c r="K63" s="16" t="s">
        <v>1288</v>
      </c>
      <c r="L63" s="22" t="n">
        <v>136</v>
      </c>
      <c r="M63" s="22" t="s">
        <v>1344</v>
      </c>
      <c r="N63" s="49"/>
      <c r="O63" s="49"/>
      <c r="P63" s="49"/>
      <c r="Q63" s="49"/>
      <c r="R63" s="49"/>
      <c r="S63" s="49"/>
      <c r="T63" s="49"/>
      <c r="U63" s="49"/>
      <c r="V63" s="72" t="str">
        <f aca="false">IFERROR(IF((SUMIFS('10. Activity Data Log'!$U$7:$U$46,'10. Activity Data Log'!$C$7:$C$46,$D63,'10. Activity Data Log'!$AD$7:$AD$46,"Q1")+SUMIFS('11. Distribution Log'!$W$7:$W$46,'11. Distribution Log'!$C$7:$C$46,$D63,'11. Distribution Log'!$AI$7:$AI$46,"Q1"))=0,"",SUMIFS('10. Activity Data Log'!$U$7:$U$46,'10. Activity Data Log'!$C$7:$C$46,$D63,'10. Activity Data Log'!$AD$7:$AD$46,"Q1")+SUMIFS('11. Distribution Log'!$W$7:$W$46,'11. Distribution Log'!$C$7:$C$46,$D63,'11. Distribution Log'!$AI$7:$AI$46,"Q1")),"")</f>
        <v/>
      </c>
      <c r="W63" s="72" t="str">
        <f aca="false">IFERROR(IF((SUMIFS('10. Activity Data Log'!$U$7:$U$46,'10. Activity Data Log'!$C$7:$C$46,$D63,'10. Activity Data Log'!$AD$7:$AD$46,"Q2")+SUMIFS('11. Distribution Log'!$W$7:$W$46,'11. Distribution Log'!$C$7:$C$46,$D63,'11. Distribution Log'!$AI$7:$AI$46,"Q2"))=0,"",SUMIFS('10. Activity Data Log'!$U$7:$U$46,'10. Activity Data Log'!$C$7:$C$46,$D63,'10. Activity Data Log'!$AD$7:$AD$46,"Q2")+SUMIFS('11. Distribution Log'!$W$7:$W$46,'11. Distribution Log'!$C$7:$C$46,$D63,'11. Distribution Log'!$AI$7:$AI$46,"Q2")),"")</f>
        <v/>
      </c>
      <c r="X63" s="72" t="str">
        <f aca="false">IFERROR(IF((SUMIFS('10. Activity Data Log'!$U$7:$U$46,'10. Activity Data Log'!$C$7:$C$46,$D63,'10. Activity Data Log'!$AD$7:$AD$46,"Q3")+SUMIFS('11. Distribution Log'!$W$7:$W$46,'11. Distribution Log'!$C$7:$C$46,$D63,'11. Distribution Log'!$AI$7:$AI$46,"Q3"))=0,"",SUMIFS('10. Activity Data Log'!$U$7:$U$46,'10. Activity Data Log'!$C$7:$C$46,$D63,'10. Activity Data Log'!$AD$7:$AD$46,"Q3")+SUMIFS('11. Distribution Log'!$W$7:$W$46,'11. Distribution Log'!$C$7:$C$46,$D63,'11. Distribution Log'!$AI$7:$AI$46,"Q3")),"")</f>
        <v/>
      </c>
      <c r="Y63" s="72" t="str">
        <f aca="false">IFERROR(IF((SUMIFS('10. Activity Data Log'!$U$7:$U$46,'10. Activity Data Log'!$C$7:$C$46,$D63,'10. Activity Data Log'!$AD$7:$AD$46,"Q4")+SUMIFS('11. Distribution Log'!$W$7:$W$46,'11. Distribution Log'!$C$7:$C$46,$D63,'11. Distribution Log'!$AI$7:$AI$46,"Q4"))=0,"",SUMIFS('10. Activity Data Log'!$U$7:$U$46,'10. Activity Data Log'!$C$7:$C$46,$D63,'10. Activity Data Log'!$AD$7:$AD$46,"Q4")+SUMIFS('11. Distribution Log'!$W$7:$W$46,'11. Distribution Log'!$C$7:$C$46,$D63,'11. Distribution Log'!$AI$7:$AI$46,"Q4")),"")</f>
        <v/>
      </c>
      <c r="Z63" s="72" t="str">
        <f aca="false">IFERROR(IF((SUMIFS('10. Activity Data Log'!$U$7:$U$46,'10. Activity Data Log'!$C$7:$C$46,$D63,'10. Activity Data Log'!$AD$7:$AD$46,"Q5")+SUMIFS('11. Distribution Log'!$W$7:$W$46,'11. Distribution Log'!$C$7:$C$46,$D63,'11. Distribution Log'!$AI$7:$AI$46,"Q5"))=0,"",SUMIFS('10. Activity Data Log'!$U$7:$U$46,'10. Activity Data Log'!$C$7:$C$46,$D63,'10. Activity Data Log'!$AD$7:$AD$46,"Q5")+SUMIFS('11. Distribution Log'!$W$7:$W$46,'11. Distribution Log'!$C$7:$C$46,$D63,'11. Distribution Log'!$AI$7:$AI$46,"Q5")),"")</f>
        <v/>
      </c>
      <c r="AA63" s="72" t="str">
        <f aca="false">IFERROR(IF((SUMIFS('10. Activity Data Log'!$U$7:$U$46,'10. Activity Data Log'!$C$7:$C$46,$D63,'10. Activity Data Log'!$AD$7:$AD$46,"Q6")+SUMIFS('11. Distribution Log'!$W$7:$W$46,'11. Distribution Log'!$C$7:$C$46,$D63,'11. Distribution Log'!$AI$7:$AI$46,"Q6"))=0,"",SUMIFS('10. Activity Data Log'!$U$7:$U$46,'10. Activity Data Log'!$C$7:$C$46,$D63,'10. Activity Data Log'!$AD$7:$AD$46,"Q6")+SUMIFS('11. Distribution Log'!$W$7:$W$46,'11. Distribution Log'!$C$7:$C$46,$D63,'11. Distribution Log'!$AI$7:$AI$46,"Q6")),"")</f>
        <v/>
      </c>
      <c r="AB63" s="72" t="str">
        <f aca="false">IFERROR(IF((SUMIFS('10. Activity Data Log'!$U$7:$U$46,'10. Activity Data Log'!$C$7:$C$46,$D63,'10. Activity Data Log'!$AD$7:$AD$46,"Q7")+SUMIFS('11. Distribution Log'!$W$7:$W$46,'11. Distribution Log'!$C$7:$C$46,$D63,'11. Distribution Log'!$AI$7:$AI$46,"Q7"))=0,"",SUMIFS('10. Activity Data Log'!$U$7:$U$46,'10. Activity Data Log'!$C$7:$C$46,$D63,'10. Activity Data Log'!$AD$7:$AD$46,"Q7")+SUMIFS('11. Distribution Log'!$W$7:$W$46,'11. Distribution Log'!$C$7:$C$46,$D63,'11. Distribution Log'!$AI$7:$AI$46,"Q7")),"")</f>
        <v/>
      </c>
      <c r="AC63" s="72" t="str">
        <f aca="false">IFERROR(IF((SUMIFS('10. Activity Data Log'!$U$7:$U$46,'10. Activity Data Log'!$C$7:$C$46,$D63,'10. Activity Data Log'!$AD$7:$AD$46,"Q8")+SUMIFS('11. Distribution Log'!$W$7:$W$46,'11. Distribution Log'!$C$7:$C$46,$D63,'11. Distribution Log'!$AI$7:$AI$46,"Q8"))=0,"",SUMIFS('10. Activity Data Log'!$U$7:$U$46,'10. Activity Data Log'!$C$7:$C$46,$D63,'10. Activity Data Log'!$AD$7:$AD$46,"Q8")+SUMIFS('11. Distribution Log'!$W$7:$W$46,'11. Distribution Log'!$C$7:$C$46,$D63,'11. Distribution Log'!$AI$7:$AI$46,"Q8")),"")</f>
        <v/>
      </c>
      <c r="AD63" s="68" t="str">
        <f aca="false">IFERROR(IF(SUMPRODUCT((COLUMN(N63:U63)-COLUMN(N63)+1&lt;='7. IPTT'!$C$3)*N(N63:U63))=0,"",SUMPRODUCT((COLUMN(V63:AC63)-COLUMN(V63)+1&lt;='7. IPTT'!$C$3)*N(V63:AC63))/SUMPRODUCT((COLUMN(N63:U63)-COLUMN(N63)+1&lt;='7. IPTT'!$C$3)*N(N63:U63))),"")</f>
        <v/>
      </c>
      <c r="AE63" s="22" t="str">
        <f aca="false">IFERROR(IF(AD63="","No data yet",IF(AD63&gt;=0.9,"On Track",IF(AD63&gt;=0.7,"Slightly Behind","Behind"))),"")</f>
        <v>No data yet</v>
      </c>
      <c r="AF63" s="16" t="s">
        <v>1334</v>
      </c>
      <c r="AG63" s="16" t="s">
        <v>1334</v>
      </c>
      <c r="AH63" s="73" t="n">
        <v>82676.92</v>
      </c>
      <c r="AI63" s="74" t="n">
        <v>11822799.56</v>
      </c>
      <c r="AJ63" s="16" t="str">
        <f aca="false">IFERROR(IF(COUNTIF('10. Activity Data Log'!$C$7:$C$46,$D63)=0,"No Data Log entries yet",COUNTIF('10. Activity Data Log'!$C$7:$C$46,$D63)&amp;" entries logged, avg "&amp;TEXT(AVERAGEIF('10. Activity Data Log'!$C$7:$C$46,$D63,'10. Activity Data Log'!$AB$7:$AB$46),"0%")&amp;" of target"),"")</f>
        <v>No Data Log entries yet</v>
      </c>
      <c r="AK63" s="16" t="str">
        <f aca="false">IFERROR(IF(OR(J63="",J63="-"),"During [reporting period], FIVDB delivered: "&amp;E63&amp;" (target: "&amp;I63&amp;"). Source: "&amp;AM63&amp;".","During [reporting period], FIVDB delivered: "&amp;E63&amp;" (target: "&amp;I63&amp;"), contributing to indicator '"&amp;IFERROR(INDEX('7. IPTT'!$F$15:$F$37,MATCH(IF(ISNUMBER(FIND(",",J63)),TRIM(LEFT(J63,FIND(",",J63)-1)),TRIM(J63)),'7. IPTT'!$C$15:$C$37,0)),"")&amp;"' ("&amp;J63&amp;"). Source: "&amp;AM63&amp;"."),"During [reporting period], FIVDB delivered: "&amp;E63&amp;".")</f>
        <v>During [reporting period], FIVDB delivered: Deliver 2-day CBCPC member training, twice yearly (2 CBCPCs/camp x 17 members x 4 camps). (target: 136 members, 2 days x2/year), contributing to indicator 'Average % knowledge increase amongst participants on the protection subject in focus' (R2-I3). Source: FIVDB Detailed Budget, rows 182-183 (2.4.4 Training for CBCPC members).</v>
      </c>
      <c r="AL63" s="16" t="s">
        <v>1335</v>
      </c>
      <c r="AM63" s="16" t="s">
        <v>1348</v>
      </c>
      <c r="AN63" s="22" t="s">
        <v>649</v>
      </c>
      <c r="AO63" s="16" t="s">
        <v>1349</v>
      </c>
    </row>
    <row r="64" customFormat="false" ht="99" hidden="false" customHeight="true" outlineLevel="0" collapsed="false">
      <c r="B64" s="22" t="s">
        <v>941</v>
      </c>
      <c r="C64" s="22" t="s">
        <v>1332</v>
      </c>
      <c r="D64" s="22" t="s">
        <v>701</v>
      </c>
      <c r="E64" s="16" t="s">
        <v>702</v>
      </c>
      <c r="F64" s="16"/>
      <c r="G64" s="16" t="s">
        <v>1102</v>
      </c>
      <c r="H64" s="16" t="s">
        <v>1103</v>
      </c>
      <c r="I64" s="16" t="s">
        <v>1350</v>
      </c>
      <c r="J64" s="22" t="s">
        <v>186</v>
      </c>
      <c r="K64" s="16" t="s">
        <v>1304</v>
      </c>
      <c r="L64" s="22" t="n">
        <v>8</v>
      </c>
      <c r="M64" s="22" t="s">
        <v>1351</v>
      </c>
      <c r="N64" s="49"/>
      <c r="O64" s="49"/>
      <c r="P64" s="49"/>
      <c r="Q64" s="49"/>
      <c r="R64" s="49"/>
      <c r="S64" s="49"/>
      <c r="T64" s="49"/>
      <c r="U64" s="49"/>
      <c r="V64" s="72" t="str">
        <f aca="false">IFERROR(IF((SUMIFS('10. Activity Data Log'!$U$7:$U$46,'10. Activity Data Log'!$C$7:$C$46,$D64,'10. Activity Data Log'!$AD$7:$AD$46,"Q1")+SUMIFS('11. Distribution Log'!$W$7:$W$46,'11. Distribution Log'!$C$7:$C$46,$D64,'11. Distribution Log'!$AI$7:$AI$46,"Q1"))=0,"",SUMIFS('10. Activity Data Log'!$U$7:$U$46,'10. Activity Data Log'!$C$7:$C$46,$D64,'10. Activity Data Log'!$AD$7:$AD$46,"Q1")+SUMIFS('11. Distribution Log'!$W$7:$W$46,'11. Distribution Log'!$C$7:$C$46,$D64,'11. Distribution Log'!$AI$7:$AI$46,"Q1")),"")</f>
        <v/>
      </c>
      <c r="W64" s="72" t="str">
        <f aca="false">IFERROR(IF((SUMIFS('10. Activity Data Log'!$U$7:$U$46,'10. Activity Data Log'!$C$7:$C$46,$D64,'10. Activity Data Log'!$AD$7:$AD$46,"Q2")+SUMIFS('11. Distribution Log'!$W$7:$W$46,'11. Distribution Log'!$C$7:$C$46,$D64,'11. Distribution Log'!$AI$7:$AI$46,"Q2"))=0,"",SUMIFS('10. Activity Data Log'!$U$7:$U$46,'10. Activity Data Log'!$C$7:$C$46,$D64,'10. Activity Data Log'!$AD$7:$AD$46,"Q2")+SUMIFS('11. Distribution Log'!$W$7:$W$46,'11. Distribution Log'!$C$7:$C$46,$D64,'11. Distribution Log'!$AI$7:$AI$46,"Q2")),"")</f>
        <v/>
      </c>
      <c r="X64" s="72" t="str">
        <f aca="false">IFERROR(IF((SUMIFS('10. Activity Data Log'!$U$7:$U$46,'10. Activity Data Log'!$C$7:$C$46,$D64,'10. Activity Data Log'!$AD$7:$AD$46,"Q3")+SUMIFS('11. Distribution Log'!$W$7:$W$46,'11. Distribution Log'!$C$7:$C$46,$D64,'11. Distribution Log'!$AI$7:$AI$46,"Q3"))=0,"",SUMIFS('10. Activity Data Log'!$U$7:$U$46,'10. Activity Data Log'!$C$7:$C$46,$D64,'10. Activity Data Log'!$AD$7:$AD$46,"Q3")+SUMIFS('11. Distribution Log'!$W$7:$W$46,'11. Distribution Log'!$C$7:$C$46,$D64,'11. Distribution Log'!$AI$7:$AI$46,"Q3")),"")</f>
        <v/>
      </c>
      <c r="Y64" s="72" t="str">
        <f aca="false">IFERROR(IF((SUMIFS('10. Activity Data Log'!$U$7:$U$46,'10. Activity Data Log'!$C$7:$C$46,$D64,'10. Activity Data Log'!$AD$7:$AD$46,"Q4")+SUMIFS('11. Distribution Log'!$W$7:$W$46,'11. Distribution Log'!$C$7:$C$46,$D64,'11. Distribution Log'!$AI$7:$AI$46,"Q4"))=0,"",SUMIFS('10. Activity Data Log'!$U$7:$U$46,'10. Activity Data Log'!$C$7:$C$46,$D64,'10. Activity Data Log'!$AD$7:$AD$46,"Q4")+SUMIFS('11. Distribution Log'!$W$7:$W$46,'11. Distribution Log'!$C$7:$C$46,$D64,'11. Distribution Log'!$AI$7:$AI$46,"Q4")),"")</f>
        <v/>
      </c>
      <c r="Z64" s="72" t="str">
        <f aca="false">IFERROR(IF((SUMIFS('10. Activity Data Log'!$U$7:$U$46,'10. Activity Data Log'!$C$7:$C$46,$D64,'10. Activity Data Log'!$AD$7:$AD$46,"Q5")+SUMIFS('11. Distribution Log'!$W$7:$W$46,'11. Distribution Log'!$C$7:$C$46,$D64,'11. Distribution Log'!$AI$7:$AI$46,"Q5"))=0,"",SUMIFS('10. Activity Data Log'!$U$7:$U$46,'10. Activity Data Log'!$C$7:$C$46,$D64,'10. Activity Data Log'!$AD$7:$AD$46,"Q5")+SUMIFS('11. Distribution Log'!$W$7:$W$46,'11. Distribution Log'!$C$7:$C$46,$D64,'11. Distribution Log'!$AI$7:$AI$46,"Q5")),"")</f>
        <v/>
      </c>
      <c r="AA64" s="72" t="str">
        <f aca="false">IFERROR(IF((SUMIFS('10. Activity Data Log'!$U$7:$U$46,'10. Activity Data Log'!$C$7:$C$46,$D64,'10. Activity Data Log'!$AD$7:$AD$46,"Q6")+SUMIFS('11. Distribution Log'!$W$7:$W$46,'11. Distribution Log'!$C$7:$C$46,$D64,'11. Distribution Log'!$AI$7:$AI$46,"Q6"))=0,"",SUMIFS('10. Activity Data Log'!$U$7:$U$46,'10. Activity Data Log'!$C$7:$C$46,$D64,'10. Activity Data Log'!$AD$7:$AD$46,"Q6")+SUMIFS('11. Distribution Log'!$W$7:$W$46,'11. Distribution Log'!$C$7:$C$46,$D64,'11. Distribution Log'!$AI$7:$AI$46,"Q6")),"")</f>
        <v/>
      </c>
      <c r="AB64" s="72" t="str">
        <f aca="false">IFERROR(IF((SUMIFS('10. Activity Data Log'!$U$7:$U$46,'10. Activity Data Log'!$C$7:$C$46,$D64,'10. Activity Data Log'!$AD$7:$AD$46,"Q7")+SUMIFS('11. Distribution Log'!$W$7:$W$46,'11. Distribution Log'!$C$7:$C$46,$D64,'11. Distribution Log'!$AI$7:$AI$46,"Q7"))=0,"",SUMIFS('10. Activity Data Log'!$U$7:$U$46,'10. Activity Data Log'!$C$7:$C$46,$D64,'10. Activity Data Log'!$AD$7:$AD$46,"Q7")+SUMIFS('11. Distribution Log'!$W$7:$W$46,'11. Distribution Log'!$C$7:$C$46,$D64,'11. Distribution Log'!$AI$7:$AI$46,"Q7")),"")</f>
        <v/>
      </c>
      <c r="AC64" s="72" t="str">
        <f aca="false">IFERROR(IF((SUMIFS('10. Activity Data Log'!$U$7:$U$46,'10. Activity Data Log'!$C$7:$C$46,$D64,'10. Activity Data Log'!$AD$7:$AD$46,"Q8")+SUMIFS('11. Distribution Log'!$W$7:$W$46,'11. Distribution Log'!$C$7:$C$46,$D64,'11. Distribution Log'!$AI$7:$AI$46,"Q8"))=0,"",SUMIFS('10. Activity Data Log'!$U$7:$U$46,'10. Activity Data Log'!$C$7:$C$46,$D64,'10. Activity Data Log'!$AD$7:$AD$46,"Q8")+SUMIFS('11. Distribution Log'!$W$7:$W$46,'11. Distribution Log'!$C$7:$C$46,$D64,'11. Distribution Log'!$AI$7:$AI$46,"Q8")),"")</f>
        <v/>
      </c>
      <c r="AD64" s="68" t="str">
        <f aca="false">IFERROR(IF(SUMPRODUCT((COLUMN(N64:U64)-COLUMN(N64)+1&lt;='7. IPTT'!$C$3)*N(N64:U64))=0,"",SUMPRODUCT((COLUMN(V64:AC64)-COLUMN(V64)+1&lt;='7. IPTT'!$C$3)*N(V64:AC64))/SUMPRODUCT((COLUMN(N64:U64)-COLUMN(N64)+1&lt;='7. IPTT'!$C$3)*N(N64:U64))),"")</f>
        <v/>
      </c>
      <c r="AE64" s="22" t="str">
        <f aca="false">IFERROR(IF(AD64="","No data yet",IF(AD64&gt;=0.9,"On Track",IF(AD64&gt;=0.7,"Slightly Behind","Behind"))),"")</f>
        <v>No data yet</v>
      </c>
      <c r="AF64" s="16" t="s">
        <v>1334</v>
      </c>
      <c r="AG64" s="16" t="s">
        <v>1334</v>
      </c>
      <c r="AH64" s="73" t="n">
        <v>82676.92</v>
      </c>
      <c r="AI64" s="74" t="n">
        <v>11822799.56</v>
      </c>
      <c r="AJ64" s="16" t="str">
        <f aca="false">IFERROR(IF(COUNTIF('10. Activity Data Log'!$C$7:$C$46,$D64)=0,"No Data Log entries yet",COUNTIF('10. Activity Data Log'!$C$7:$C$46,$D64)&amp;" entries logged, avg "&amp;TEXT(AVERAGEIF('10. Activity Data Log'!$C$7:$C$46,$D64,'10. Activity Data Log'!$AB$7:$AB$46),"0%")&amp;" of target"),"")</f>
        <v>No Data Log entries yet</v>
      </c>
      <c r="AK64" s="16" t="str">
        <f aca="false">IFERROR(IF(OR(J64="",J64="-"),"During [reporting period], FIVDB delivered: "&amp;E64&amp;" (target: "&amp;I64&amp;"). Source: "&amp;AM64&amp;".","During [reporting period], FIVDB delivered: "&amp;E64&amp;" (target: "&amp;I64&amp;"), contributing to indicator '"&amp;IFERROR(INDEX('7. IPTT'!$F$15:$F$37,MATCH(IF(ISNUMBER(FIND(",",J64)),TRIM(LEFT(J64,FIND(",",J64)-1)),TRIM(J64)),'7. IPTT'!$C$15:$C$37,0)),"")&amp;"' ("&amp;J64&amp;"). Source: "&amp;AM64&amp;"."),"During [reporting period], FIVDB delivered: "&amp;E64&amp;".")</f>
        <v>During [reporting period], FIVDB delivered: Conduct child-protection risk mapping and develop community-led prevention/response/referral plans. (target: 8 mapping exercises), contributing to indicator '(MANDATORY) % of persons who receive appropriate PSS reporting improved mental health and psychosocial well-being OR capacities to cope' (R2-I4). Source: FIVDB Detailed Budget, rows 184-185 (2.4.5 Child protection risk mapping).</v>
      </c>
      <c r="AL64" s="16" t="s">
        <v>1352</v>
      </c>
      <c r="AM64" s="16" t="s">
        <v>1353</v>
      </c>
      <c r="AN64" s="22" t="s">
        <v>649</v>
      </c>
      <c r="AO64" s="16" t="s">
        <v>1354</v>
      </c>
    </row>
    <row r="65" customFormat="false" ht="99" hidden="false" customHeight="true" outlineLevel="0" collapsed="false">
      <c r="B65" s="22" t="s">
        <v>941</v>
      </c>
      <c r="C65" s="22" t="s">
        <v>1332</v>
      </c>
      <c r="D65" s="22" t="s">
        <v>703</v>
      </c>
      <c r="E65" s="16" t="s">
        <v>704</v>
      </c>
      <c r="F65" s="16"/>
      <c r="G65" s="16" t="s">
        <v>1355</v>
      </c>
      <c r="H65" s="16" t="s">
        <v>1103</v>
      </c>
      <c r="I65" s="16" t="s">
        <v>1356</v>
      </c>
      <c r="J65" s="22" t="s">
        <v>186</v>
      </c>
      <c r="K65" s="16" t="s">
        <v>1304</v>
      </c>
      <c r="L65" s="22" t="n">
        <v>4</v>
      </c>
      <c r="M65" s="22" t="s">
        <v>1323</v>
      </c>
      <c r="N65" s="49"/>
      <c r="O65" s="49"/>
      <c r="P65" s="49"/>
      <c r="Q65" s="49"/>
      <c r="R65" s="49"/>
      <c r="S65" s="49"/>
      <c r="T65" s="49"/>
      <c r="U65" s="49"/>
      <c r="V65" s="72" t="str">
        <f aca="false">IFERROR(IF((SUMIFS('10. Activity Data Log'!$U$7:$U$46,'10. Activity Data Log'!$C$7:$C$46,$D65,'10. Activity Data Log'!$AD$7:$AD$46,"Q1")+SUMIFS('11. Distribution Log'!$W$7:$W$46,'11. Distribution Log'!$C$7:$C$46,$D65,'11. Distribution Log'!$AI$7:$AI$46,"Q1"))=0,"",SUMIFS('10. Activity Data Log'!$U$7:$U$46,'10. Activity Data Log'!$C$7:$C$46,$D65,'10. Activity Data Log'!$AD$7:$AD$46,"Q1")+SUMIFS('11. Distribution Log'!$W$7:$W$46,'11. Distribution Log'!$C$7:$C$46,$D65,'11. Distribution Log'!$AI$7:$AI$46,"Q1")),"")</f>
        <v/>
      </c>
      <c r="W65" s="72" t="str">
        <f aca="false">IFERROR(IF((SUMIFS('10. Activity Data Log'!$U$7:$U$46,'10. Activity Data Log'!$C$7:$C$46,$D65,'10. Activity Data Log'!$AD$7:$AD$46,"Q2")+SUMIFS('11. Distribution Log'!$W$7:$W$46,'11. Distribution Log'!$C$7:$C$46,$D65,'11. Distribution Log'!$AI$7:$AI$46,"Q2"))=0,"",SUMIFS('10. Activity Data Log'!$U$7:$U$46,'10. Activity Data Log'!$C$7:$C$46,$D65,'10. Activity Data Log'!$AD$7:$AD$46,"Q2")+SUMIFS('11. Distribution Log'!$W$7:$W$46,'11. Distribution Log'!$C$7:$C$46,$D65,'11. Distribution Log'!$AI$7:$AI$46,"Q2")),"")</f>
        <v/>
      </c>
      <c r="X65" s="72" t="str">
        <f aca="false">IFERROR(IF((SUMIFS('10. Activity Data Log'!$U$7:$U$46,'10. Activity Data Log'!$C$7:$C$46,$D65,'10. Activity Data Log'!$AD$7:$AD$46,"Q3")+SUMIFS('11. Distribution Log'!$W$7:$W$46,'11. Distribution Log'!$C$7:$C$46,$D65,'11. Distribution Log'!$AI$7:$AI$46,"Q3"))=0,"",SUMIFS('10. Activity Data Log'!$U$7:$U$46,'10. Activity Data Log'!$C$7:$C$46,$D65,'10. Activity Data Log'!$AD$7:$AD$46,"Q3")+SUMIFS('11. Distribution Log'!$W$7:$W$46,'11. Distribution Log'!$C$7:$C$46,$D65,'11. Distribution Log'!$AI$7:$AI$46,"Q3")),"")</f>
        <v/>
      </c>
      <c r="Y65" s="72" t="str">
        <f aca="false">IFERROR(IF((SUMIFS('10. Activity Data Log'!$U$7:$U$46,'10. Activity Data Log'!$C$7:$C$46,$D65,'10. Activity Data Log'!$AD$7:$AD$46,"Q4")+SUMIFS('11. Distribution Log'!$W$7:$W$46,'11. Distribution Log'!$C$7:$C$46,$D65,'11. Distribution Log'!$AI$7:$AI$46,"Q4"))=0,"",SUMIFS('10. Activity Data Log'!$U$7:$U$46,'10. Activity Data Log'!$C$7:$C$46,$D65,'10. Activity Data Log'!$AD$7:$AD$46,"Q4")+SUMIFS('11. Distribution Log'!$W$7:$W$46,'11. Distribution Log'!$C$7:$C$46,$D65,'11. Distribution Log'!$AI$7:$AI$46,"Q4")),"")</f>
        <v/>
      </c>
      <c r="Z65" s="72" t="str">
        <f aca="false">IFERROR(IF((SUMIFS('10. Activity Data Log'!$U$7:$U$46,'10. Activity Data Log'!$C$7:$C$46,$D65,'10. Activity Data Log'!$AD$7:$AD$46,"Q5")+SUMIFS('11. Distribution Log'!$W$7:$W$46,'11. Distribution Log'!$C$7:$C$46,$D65,'11. Distribution Log'!$AI$7:$AI$46,"Q5"))=0,"",SUMIFS('10. Activity Data Log'!$U$7:$U$46,'10. Activity Data Log'!$C$7:$C$46,$D65,'10. Activity Data Log'!$AD$7:$AD$46,"Q5")+SUMIFS('11. Distribution Log'!$W$7:$W$46,'11. Distribution Log'!$C$7:$C$46,$D65,'11. Distribution Log'!$AI$7:$AI$46,"Q5")),"")</f>
        <v/>
      </c>
      <c r="AA65" s="72" t="str">
        <f aca="false">IFERROR(IF((SUMIFS('10. Activity Data Log'!$U$7:$U$46,'10. Activity Data Log'!$C$7:$C$46,$D65,'10. Activity Data Log'!$AD$7:$AD$46,"Q6")+SUMIFS('11. Distribution Log'!$W$7:$W$46,'11. Distribution Log'!$C$7:$C$46,$D65,'11. Distribution Log'!$AI$7:$AI$46,"Q6"))=0,"",SUMIFS('10. Activity Data Log'!$U$7:$U$46,'10. Activity Data Log'!$C$7:$C$46,$D65,'10. Activity Data Log'!$AD$7:$AD$46,"Q6")+SUMIFS('11. Distribution Log'!$W$7:$W$46,'11. Distribution Log'!$C$7:$C$46,$D65,'11. Distribution Log'!$AI$7:$AI$46,"Q6")),"")</f>
        <v/>
      </c>
      <c r="AB65" s="72" t="str">
        <f aca="false">IFERROR(IF((SUMIFS('10. Activity Data Log'!$U$7:$U$46,'10. Activity Data Log'!$C$7:$C$46,$D65,'10. Activity Data Log'!$AD$7:$AD$46,"Q7")+SUMIFS('11. Distribution Log'!$W$7:$W$46,'11. Distribution Log'!$C$7:$C$46,$D65,'11. Distribution Log'!$AI$7:$AI$46,"Q7"))=0,"",SUMIFS('10. Activity Data Log'!$U$7:$U$46,'10. Activity Data Log'!$C$7:$C$46,$D65,'10. Activity Data Log'!$AD$7:$AD$46,"Q7")+SUMIFS('11. Distribution Log'!$W$7:$W$46,'11. Distribution Log'!$C$7:$C$46,$D65,'11. Distribution Log'!$AI$7:$AI$46,"Q7")),"")</f>
        <v/>
      </c>
      <c r="AC65" s="72" t="str">
        <f aca="false">IFERROR(IF((SUMIFS('10. Activity Data Log'!$U$7:$U$46,'10. Activity Data Log'!$C$7:$C$46,$D65,'10. Activity Data Log'!$AD$7:$AD$46,"Q8")+SUMIFS('11. Distribution Log'!$W$7:$W$46,'11. Distribution Log'!$C$7:$C$46,$D65,'11. Distribution Log'!$AI$7:$AI$46,"Q8"))=0,"",SUMIFS('10. Activity Data Log'!$U$7:$U$46,'10. Activity Data Log'!$C$7:$C$46,$D65,'10. Activity Data Log'!$AD$7:$AD$46,"Q8")+SUMIFS('11. Distribution Log'!$W$7:$W$46,'11. Distribution Log'!$C$7:$C$46,$D65,'11. Distribution Log'!$AI$7:$AI$46,"Q8")),"")</f>
        <v/>
      </c>
      <c r="AD65" s="68" t="str">
        <f aca="false">IFERROR(IF(SUMPRODUCT((COLUMN(N65:U65)-COLUMN(N65)+1&lt;='7. IPTT'!$C$3)*N(N65:U65))=0,"",SUMPRODUCT((COLUMN(V65:AC65)-COLUMN(V65)+1&lt;='7. IPTT'!$C$3)*N(V65:AC65))/SUMPRODUCT((COLUMN(N65:U65)-COLUMN(N65)+1&lt;='7. IPTT'!$C$3)*N(N65:U65))),"")</f>
        <v/>
      </c>
      <c r="AE65" s="22" t="str">
        <f aca="false">IFERROR(IF(AD65="","No data yet",IF(AD65&gt;=0.9,"On Track",IF(AD65&gt;=0.7,"Slightly Behind","Behind"))),"")</f>
        <v>No data yet</v>
      </c>
      <c r="AF65" s="16" t="s">
        <v>1334</v>
      </c>
      <c r="AG65" s="16" t="s">
        <v>1334</v>
      </c>
      <c r="AH65" s="73" t="n">
        <v>82676.92</v>
      </c>
      <c r="AI65" s="74" t="n">
        <v>11822799.56</v>
      </c>
      <c r="AJ65" s="16" t="str">
        <f aca="false">IFERROR(IF(COUNTIF('10. Activity Data Log'!$C$7:$C$46,$D65)=0,"No Data Log entries yet",COUNTIF('10. Activity Data Log'!$C$7:$C$46,$D65)&amp;" entries logged, avg "&amp;TEXT(AVERAGEIF('10. Activity Data Log'!$C$7:$C$46,$D65,'10. Activity Data Log'!$AB$7:$AB$46),"0%")&amp;" of target"),"")</f>
        <v>No Data Log entries yet</v>
      </c>
      <c r="AK65" s="16" t="str">
        <f aca="false">IFERROR(IF(OR(J65="",J65="-"),"During [reporting period], FIVDB delivered: "&amp;E65&amp;" (target: "&amp;I65&amp;"). Source: "&amp;AM65&amp;".","During [reporting period], FIVDB delivered: "&amp;E65&amp;" (target: "&amp;I65&amp;"), contributing to indicator '"&amp;IFERROR(INDEX('7. IPTT'!$F$15:$F$37,MATCH(IF(ISNUMBER(FIND(",",J65)),TRIM(LEFT(J65,FIND(",",J65)-1)),TRIM(J65)),'7. IPTT'!$C$15:$C$37,0)),"")&amp;"' ("&amp;J65&amp;"). Source: "&amp;AM65&amp;"."),"During [reporting period], FIVDB delivered: "&amp;E65&amp;".")</f>
        <v>During [reporting period], FIVDB delivered: Deliver Art for Awareness - Interactive Popular Theatre (IPT) and puppet shows for CP &amp; GBV behaviour change. (target: 4 events), contributing to indicator '(MANDATORY) % of persons who receive appropriate PSS reporting improved mental health and psychosocial well-being OR capacities to cope' (R2-I4). Source: FIVDB Detailed Budget, rows 186-191 (2.4.6 Art for Awareness - IPT and Puppet for CP &amp; GBV).</v>
      </c>
      <c r="AL65" s="16" t="s">
        <v>1357</v>
      </c>
      <c r="AM65" s="16" t="s">
        <v>1358</v>
      </c>
      <c r="AN65" s="22" t="s">
        <v>649</v>
      </c>
      <c r="AO65" s="16" t="s">
        <v>1359</v>
      </c>
    </row>
    <row r="66" customFormat="false" ht="19.5" hidden="false" customHeight="true" outlineLevel="0" collapsed="false">
      <c r="B66" s="66" t="s">
        <v>1360</v>
      </c>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row>
    <row r="67" customFormat="false" ht="99" hidden="false" customHeight="true" outlineLevel="0" collapsed="false">
      <c r="B67" s="22" t="s">
        <v>941</v>
      </c>
      <c r="C67" s="22" t="s">
        <v>1361</v>
      </c>
      <c r="D67" s="22" t="s">
        <v>705</v>
      </c>
      <c r="E67" s="16" t="s">
        <v>706</v>
      </c>
      <c r="F67" s="16"/>
      <c r="G67" s="16" t="s">
        <v>1194</v>
      </c>
      <c r="H67" s="16" t="s">
        <v>1103</v>
      </c>
      <c r="I67" s="16" t="s">
        <v>1362</v>
      </c>
      <c r="J67" s="22" t="s">
        <v>972</v>
      </c>
      <c r="K67" s="16" t="s">
        <v>1288</v>
      </c>
      <c r="L67" s="22" t="n">
        <v>25</v>
      </c>
      <c r="M67" s="22" t="s">
        <v>1197</v>
      </c>
      <c r="N67" s="49"/>
      <c r="O67" s="49"/>
      <c r="P67" s="49"/>
      <c r="Q67" s="49"/>
      <c r="R67" s="49"/>
      <c r="S67" s="49"/>
      <c r="T67" s="49"/>
      <c r="U67" s="49"/>
      <c r="V67" s="72" t="str">
        <f aca="false">IFERROR(IF((SUMIFS('10. Activity Data Log'!$U$7:$U$46,'10. Activity Data Log'!$C$7:$C$46,$D67,'10. Activity Data Log'!$AD$7:$AD$46,"Q1")+SUMIFS('11. Distribution Log'!$W$7:$W$46,'11. Distribution Log'!$C$7:$C$46,$D67,'11. Distribution Log'!$AI$7:$AI$46,"Q1"))=0,"",SUMIFS('10. Activity Data Log'!$U$7:$U$46,'10. Activity Data Log'!$C$7:$C$46,$D67,'10. Activity Data Log'!$AD$7:$AD$46,"Q1")+SUMIFS('11. Distribution Log'!$W$7:$W$46,'11. Distribution Log'!$C$7:$C$46,$D67,'11. Distribution Log'!$AI$7:$AI$46,"Q1")),"")</f>
        <v/>
      </c>
      <c r="W67" s="72" t="str">
        <f aca="false">IFERROR(IF((SUMIFS('10. Activity Data Log'!$U$7:$U$46,'10. Activity Data Log'!$C$7:$C$46,$D67,'10. Activity Data Log'!$AD$7:$AD$46,"Q2")+SUMIFS('11. Distribution Log'!$W$7:$W$46,'11. Distribution Log'!$C$7:$C$46,$D67,'11. Distribution Log'!$AI$7:$AI$46,"Q2"))=0,"",SUMIFS('10. Activity Data Log'!$U$7:$U$46,'10. Activity Data Log'!$C$7:$C$46,$D67,'10. Activity Data Log'!$AD$7:$AD$46,"Q2")+SUMIFS('11. Distribution Log'!$W$7:$W$46,'11. Distribution Log'!$C$7:$C$46,$D67,'11. Distribution Log'!$AI$7:$AI$46,"Q2")),"")</f>
        <v/>
      </c>
      <c r="X67" s="72" t="str">
        <f aca="false">IFERROR(IF((SUMIFS('10. Activity Data Log'!$U$7:$U$46,'10. Activity Data Log'!$C$7:$C$46,$D67,'10. Activity Data Log'!$AD$7:$AD$46,"Q3")+SUMIFS('11. Distribution Log'!$W$7:$W$46,'11. Distribution Log'!$C$7:$C$46,$D67,'11. Distribution Log'!$AI$7:$AI$46,"Q3"))=0,"",SUMIFS('10. Activity Data Log'!$U$7:$U$46,'10. Activity Data Log'!$C$7:$C$46,$D67,'10. Activity Data Log'!$AD$7:$AD$46,"Q3")+SUMIFS('11. Distribution Log'!$W$7:$W$46,'11. Distribution Log'!$C$7:$C$46,$D67,'11. Distribution Log'!$AI$7:$AI$46,"Q3")),"")</f>
        <v/>
      </c>
      <c r="Y67" s="72" t="str">
        <f aca="false">IFERROR(IF((SUMIFS('10. Activity Data Log'!$U$7:$U$46,'10. Activity Data Log'!$C$7:$C$46,$D67,'10. Activity Data Log'!$AD$7:$AD$46,"Q4")+SUMIFS('11. Distribution Log'!$W$7:$W$46,'11. Distribution Log'!$C$7:$C$46,$D67,'11. Distribution Log'!$AI$7:$AI$46,"Q4"))=0,"",SUMIFS('10. Activity Data Log'!$U$7:$U$46,'10. Activity Data Log'!$C$7:$C$46,$D67,'10. Activity Data Log'!$AD$7:$AD$46,"Q4")+SUMIFS('11. Distribution Log'!$W$7:$W$46,'11. Distribution Log'!$C$7:$C$46,$D67,'11. Distribution Log'!$AI$7:$AI$46,"Q4")),"")</f>
        <v/>
      </c>
      <c r="Z67" s="72" t="str">
        <f aca="false">IFERROR(IF((SUMIFS('10. Activity Data Log'!$U$7:$U$46,'10. Activity Data Log'!$C$7:$C$46,$D67,'10. Activity Data Log'!$AD$7:$AD$46,"Q5")+SUMIFS('11. Distribution Log'!$W$7:$W$46,'11. Distribution Log'!$C$7:$C$46,$D67,'11. Distribution Log'!$AI$7:$AI$46,"Q5"))=0,"",SUMIFS('10. Activity Data Log'!$U$7:$U$46,'10. Activity Data Log'!$C$7:$C$46,$D67,'10. Activity Data Log'!$AD$7:$AD$46,"Q5")+SUMIFS('11. Distribution Log'!$W$7:$W$46,'11. Distribution Log'!$C$7:$C$46,$D67,'11. Distribution Log'!$AI$7:$AI$46,"Q5")),"")</f>
        <v/>
      </c>
      <c r="AA67" s="72" t="str">
        <f aca="false">IFERROR(IF((SUMIFS('10. Activity Data Log'!$U$7:$U$46,'10. Activity Data Log'!$C$7:$C$46,$D67,'10. Activity Data Log'!$AD$7:$AD$46,"Q6")+SUMIFS('11. Distribution Log'!$W$7:$W$46,'11. Distribution Log'!$C$7:$C$46,$D67,'11. Distribution Log'!$AI$7:$AI$46,"Q6"))=0,"",SUMIFS('10. Activity Data Log'!$U$7:$U$46,'10. Activity Data Log'!$C$7:$C$46,$D67,'10. Activity Data Log'!$AD$7:$AD$46,"Q6")+SUMIFS('11. Distribution Log'!$W$7:$W$46,'11. Distribution Log'!$C$7:$C$46,$D67,'11. Distribution Log'!$AI$7:$AI$46,"Q6")),"")</f>
        <v/>
      </c>
      <c r="AB67" s="72" t="str">
        <f aca="false">IFERROR(IF((SUMIFS('10. Activity Data Log'!$U$7:$U$46,'10. Activity Data Log'!$C$7:$C$46,$D67,'10. Activity Data Log'!$AD$7:$AD$46,"Q7")+SUMIFS('11. Distribution Log'!$W$7:$W$46,'11. Distribution Log'!$C$7:$C$46,$D67,'11. Distribution Log'!$AI$7:$AI$46,"Q7"))=0,"",SUMIFS('10. Activity Data Log'!$U$7:$U$46,'10. Activity Data Log'!$C$7:$C$46,$D67,'10. Activity Data Log'!$AD$7:$AD$46,"Q7")+SUMIFS('11. Distribution Log'!$W$7:$W$46,'11. Distribution Log'!$C$7:$C$46,$D67,'11. Distribution Log'!$AI$7:$AI$46,"Q7")),"")</f>
        <v/>
      </c>
      <c r="AC67" s="72" t="str">
        <f aca="false">IFERROR(IF((SUMIFS('10. Activity Data Log'!$U$7:$U$46,'10. Activity Data Log'!$C$7:$C$46,$D67,'10. Activity Data Log'!$AD$7:$AD$46,"Q8")+SUMIFS('11. Distribution Log'!$W$7:$W$46,'11. Distribution Log'!$C$7:$C$46,$D67,'11. Distribution Log'!$AI$7:$AI$46,"Q8"))=0,"",SUMIFS('10. Activity Data Log'!$U$7:$U$46,'10. Activity Data Log'!$C$7:$C$46,$D67,'10. Activity Data Log'!$AD$7:$AD$46,"Q8")+SUMIFS('11. Distribution Log'!$W$7:$W$46,'11. Distribution Log'!$C$7:$C$46,$D67,'11. Distribution Log'!$AI$7:$AI$46,"Q8")),"")</f>
        <v/>
      </c>
      <c r="AD67" s="68" t="str">
        <f aca="false">IFERROR(IF(SUMPRODUCT((COLUMN(N67:U67)-COLUMN(N67)+1&lt;='7. IPTT'!$C$3)*N(N67:U67))=0,"",SUMPRODUCT((COLUMN(V67:AC67)-COLUMN(V67)+1&lt;='7. IPTT'!$C$3)*N(V67:AC67))/SUMPRODUCT((COLUMN(N67:U67)-COLUMN(N67)+1&lt;='7. IPTT'!$C$3)*N(N67:U67))),"")</f>
        <v/>
      </c>
      <c r="AE67" s="22" t="str">
        <f aca="false">IFERROR(IF(AD67="","No data yet",IF(AD67&gt;=0.9,"On Track",IF(AD67&gt;=0.7,"Slightly Behind","Behind"))),"")</f>
        <v>No data yet</v>
      </c>
      <c r="AF67" s="16" t="s">
        <v>1363</v>
      </c>
      <c r="AG67" s="16" t="s">
        <v>1363</v>
      </c>
      <c r="AH67" s="73" t="n">
        <v>2064.34</v>
      </c>
      <c r="AI67" s="74" t="n">
        <v>295200.62</v>
      </c>
      <c r="AJ67" s="16" t="str">
        <f aca="false">IFERROR(IF(COUNTIF('10. Activity Data Log'!$C$7:$C$46,$D67)=0,"No Data Log entries yet",COUNTIF('10. Activity Data Log'!$C$7:$C$46,$D67)&amp;" entries logged, avg "&amp;TEXT(AVERAGEIF('10. Activity Data Log'!$C$7:$C$46,$D67,'10. Activity Data Log'!$AB$7:$AB$46),"0%")&amp;" of target"),"")</f>
        <v>No Data Log entries yet</v>
      </c>
      <c r="AK67" s="16" t="str">
        <f aca="false">IFERROR(IF(OR(J67="",J67="-"),"During [reporting period], FIVDB delivered: "&amp;E67&amp;" (target: "&amp;I67&amp;"). Source: "&amp;AM67&amp;".","During [reporting period], FIVDB delivered: "&amp;E67&amp;" (target: "&amp;I67&amp;"), contributing to indicator '"&amp;IFERROR(INDEX('7. IPTT'!$F$15:$F$37,MATCH(IF(ISNUMBER(FIND(",",J67)),TRIM(LEFT(J67,FIND(",",J67)-1)),TRIM(J67)),'7. IPTT'!$C$15:$C$37,0)),"")&amp;"' ("&amp;J67&amp;"). Source: "&amp;AM67&amp;"."),"During [reporting period], FIVDB delivered: "&amp;E67&amp;".")</f>
        <v>During [reporting period], FIVDB delivered: Deliver capacity-enhancing training for other-sector staff (health, education, nutrition, WASH) on CP integration and case-referral systems. (target: 25 participants, 1 day), contributing to indicator 'Average % knowledge increase amongst participants on the protection subject in focus' (R2-I3). Source: FIVDB Detailed Budget, rows 194-197 (2.5.9 Capacity enhancing training for other sector staff).</v>
      </c>
      <c r="AL67" s="16" t="s">
        <v>1335</v>
      </c>
      <c r="AM67" s="16" t="s">
        <v>1364</v>
      </c>
      <c r="AN67" s="22" t="s">
        <v>649</v>
      </c>
      <c r="AO67" s="16" t="s">
        <v>1365</v>
      </c>
    </row>
    <row r="68" customFormat="false" ht="99" hidden="false" customHeight="true" outlineLevel="0" collapsed="false">
      <c r="B68" s="22" t="s">
        <v>941</v>
      </c>
      <c r="C68" s="22" t="s">
        <v>1361</v>
      </c>
      <c r="D68" s="22" t="s">
        <v>707</v>
      </c>
      <c r="E68" s="16" t="s">
        <v>708</v>
      </c>
      <c r="F68" s="16"/>
      <c r="G68" s="16" t="s">
        <v>1243</v>
      </c>
      <c r="H68" s="16" t="s">
        <v>1103</v>
      </c>
      <c r="I68" s="16" t="s">
        <v>1366</v>
      </c>
      <c r="J68" s="22" t="s">
        <v>543</v>
      </c>
      <c r="K68" s="16" t="s">
        <v>1245</v>
      </c>
      <c r="L68" s="22" t="n">
        <v>4</v>
      </c>
      <c r="M68" s="22" t="s">
        <v>1279</v>
      </c>
      <c r="N68" s="49"/>
      <c r="O68" s="49"/>
      <c r="P68" s="49"/>
      <c r="Q68" s="49"/>
      <c r="R68" s="49"/>
      <c r="S68" s="49"/>
      <c r="T68" s="49"/>
      <c r="U68" s="49"/>
      <c r="V68" s="72" t="str">
        <f aca="false">IFERROR(IF((SUMIFS('10. Activity Data Log'!$U$7:$U$46,'10. Activity Data Log'!$C$7:$C$46,$D68,'10. Activity Data Log'!$AD$7:$AD$46,"Q1")+SUMIFS('11. Distribution Log'!$W$7:$W$46,'11. Distribution Log'!$C$7:$C$46,$D68,'11. Distribution Log'!$AI$7:$AI$46,"Q1"))=0,"",SUMIFS('10. Activity Data Log'!$U$7:$U$46,'10. Activity Data Log'!$C$7:$C$46,$D68,'10. Activity Data Log'!$AD$7:$AD$46,"Q1")+SUMIFS('11. Distribution Log'!$W$7:$W$46,'11. Distribution Log'!$C$7:$C$46,$D68,'11. Distribution Log'!$AI$7:$AI$46,"Q1")),"")</f>
        <v/>
      </c>
      <c r="W68" s="72" t="str">
        <f aca="false">IFERROR(IF((SUMIFS('10. Activity Data Log'!$U$7:$U$46,'10. Activity Data Log'!$C$7:$C$46,$D68,'10. Activity Data Log'!$AD$7:$AD$46,"Q2")+SUMIFS('11. Distribution Log'!$W$7:$W$46,'11. Distribution Log'!$C$7:$C$46,$D68,'11. Distribution Log'!$AI$7:$AI$46,"Q2"))=0,"",SUMIFS('10. Activity Data Log'!$U$7:$U$46,'10. Activity Data Log'!$C$7:$C$46,$D68,'10. Activity Data Log'!$AD$7:$AD$46,"Q2")+SUMIFS('11. Distribution Log'!$W$7:$W$46,'11. Distribution Log'!$C$7:$C$46,$D68,'11. Distribution Log'!$AI$7:$AI$46,"Q2")),"")</f>
        <v/>
      </c>
      <c r="X68" s="72" t="str">
        <f aca="false">IFERROR(IF((SUMIFS('10. Activity Data Log'!$U$7:$U$46,'10. Activity Data Log'!$C$7:$C$46,$D68,'10. Activity Data Log'!$AD$7:$AD$46,"Q3")+SUMIFS('11. Distribution Log'!$W$7:$W$46,'11. Distribution Log'!$C$7:$C$46,$D68,'11. Distribution Log'!$AI$7:$AI$46,"Q3"))=0,"",SUMIFS('10. Activity Data Log'!$U$7:$U$46,'10. Activity Data Log'!$C$7:$C$46,$D68,'10. Activity Data Log'!$AD$7:$AD$46,"Q3")+SUMIFS('11. Distribution Log'!$W$7:$W$46,'11. Distribution Log'!$C$7:$C$46,$D68,'11. Distribution Log'!$AI$7:$AI$46,"Q3")),"")</f>
        <v/>
      </c>
      <c r="Y68" s="72" t="str">
        <f aca="false">IFERROR(IF((SUMIFS('10. Activity Data Log'!$U$7:$U$46,'10. Activity Data Log'!$C$7:$C$46,$D68,'10. Activity Data Log'!$AD$7:$AD$46,"Q4")+SUMIFS('11. Distribution Log'!$W$7:$W$46,'11. Distribution Log'!$C$7:$C$46,$D68,'11. Distribution Log'!$AI$7:$AI$46,"Q4"))=0,"",SUMIFS('10. Activity Data Log'!$U$7:$U$46,'10. Activity Data Log'!$C$7:$C$46,$D68,'10. Activity Data Log'!$AD$7:$AD$46,"Q4")+SUMIFS('11. Distribution Log'!$W$7:$W$46,'11. Distribution Log'!$C$7:$C$46,$D68,'11. Distribution Log'!$AI$7:$AI$46,"Q4")),"")</f>
        <v/>
      </c>
      <c r="Z68" s="72" t="str">
        <f aca="false">IFERROR(IF((SUMIFS('10. Activity Data Log'!$U$7:$U$46,'10. Activity Data Log'!$C$7:$C$46,$D68,'10. Activity Data Log'!$AD$7:$AD$46,"Q5")+SUMIFS('11. Distribution Log'!$W$7:$W$46,'11. Distribution Log'!$C$7:$C$46,$D68,'11. Distribution Log'!$AI$7:$AI$46,"Q5"))=0,"",SUMIFS('10. Activity Data Log'!$U$7:$U$46,'10. Activity Data Log'!$C$7:$C$46,$D68,'10. Activity Data Log'!$AD$7:$AD$46,"Q5")+SUMIFS('11. Distribution Log'!$W$7:$W$46,'11. Distribution Log'!$C$7:$C$46,$D68,'11. Distribution Log'!$AI$7:$AI$46,"Q5")),"")</f>
        <v/>
      </c>
      <c r="AA68" s="72" t="str">
        <f aca="false">IFERROR(IF((SUMIFS('10. Activity Data Log'!$U$7:$U$46,'10. Activity Data Log'!$C$7:$C$46,$D68,'10. Activity Data Log'!$AD$7:$AD$46,"Q6")+SUMIFS('11. Distribution Log'!$W$7:$W$46,'11. Distribution Log'!$C$7:$C$46,$D68,'11. Distribution Log'!$AI$7:$AI$46,"Q6"))=0,"",SUMIFS('10. Activity Data Log'!$U$7:$U$46,'10. Activity Data Log'!$C$7:$C$46,$D68,'10. Activity Data Log'!$AD$7:$AD$46,"Q6")+SUMIFS('11. Distribution Log'!$W$7:$W$46,'11. Distribution Log'!$C$7:$C$46,$D68,'11. Distribution Log'!$AI$7:$AI$46,"Q6")),"")</f>
        <v/>
      </c>
      <c r="AB68" s="72" t="str">
        <f aca="false">IFERROR(IF((SUMIFS('10. Activity Data Log'!$U$7:$U$46,'10. Activity Data Log'!$C$7:$C$46,$D68,'10. Activity Data Log'!$AD$7:$AD$46,"Q7")+SUMIFS('11. Distribution Log'!$W$7:$W$46,'11. Distribution Log'!$C$7:$C$46,$D68,'11. Distribution Log'!$AI$7:$AI$46,"Q7"))=0,"",SUMIFS('10. Activity Data Log'!$U$7:$U$46,'10. Activity Data Log'!$C$7:$C$46,$D68,'10. Activity Data Log'!$AD$7:$AD$46,"Q7")+SUMIFS('11. Distribution Log'!$W$7:$W$46,'11. Distribution Log'!$C$7:$C$46,$D68,'11. Distribution Log'!$AI$7:$AI$46,"Q7")),"")</f>
        <v/>
      </c>
      <c r="AC68" s="72" t="str">
        <f aca="false">IFERROR(IF((SUMIFS('10. Activity Data Log'!$U$7:$U$46,'10. Activity Data Log'!$C$7:$C$46,$D68,'10. Activity Data Log'!$AD$7:$AD$46,"Q8")+SUMIFS('11. Distribution Log'!$W$7:$W$46,'11. Distribution Log'!$C$7:$C$46,$D68,'11. Distribution Log'!$AI$7:$AI$46,"Q8"))=0,"",SUMIFS('10. Activity Data Log'!$U$7:$U$46,'10. Activity Data Log'!$C$7:$C$46,$D68,'10. Activity Data Log'!$AD$7:$AD$46,"Q8")+SUMIFS('11. Distribution Log'!$W$7:$W$46,'11. Distribution Log'!$C$7:$C$46,$D68,'11. Distribution Log'!$AI$7:$AI$46,"Q8")),"")</f>
        <v/>
      </c>
      <c r="AD68" s="68" t="str">
        <f aca="false">IFERROR(IF(SUMPRODUCT((COLUMN(N68:U68)-COLUMN(N68)+1&lt;='7. IPTT'!$C$3)*N(N68:U68))=0,"",SUMPRODUCT((COLUMN(V68:AC68)-COLUMN(V68)+1&lt;='7. IPTT'!$C$3)*N(V68:AC68))/SUMPRODUCT((COLUMN(N68:U68)-COLUMN(N68)+1&lt;='7. IPTT'!$C$3)*N(N68:U68))),"")</f>
        <v/>
      </c>
      <c r="AE68" s="22" t="str">
        <f aca="false">IFERROR(IF(AD68="","No data yet",IF(AD68&gt;=0.9,"On Track",IF(AD68&gt;=0.7,"Slightly Behind","Behind"))),"")</f>
        <v>No data yet</v>
      </c>
      <c r="AF68" s="16" t="s">
        <v>1363</v>
      </c>
      <c r="AG68" s="16" t="s">
        <v>1363</v>
      </c>
      <c r="AH68" s="73" t="n">
        <v>2064.34</v>
      </c>
      <c r="AI68" s="74" t="n">
        <v>295200.62</v>
      </c>
      <c r="AJ68" s="16" t="str">
        <f aca="false">IFERROR(IF(COUNTIF('10. Activity Data Log'!$C$7:$C$46,$D68)=0,"No Data Log entries yet",COUNTIF('10. Activity Data Log'!$C$7:$C$46,$D68)&amp;" entries logged, avg "&amp;TEXT(AVERAGEIF('10. Activity Data Log'!$C$7:$C$46,$D68,'10. Activity Data Log'!$AB$7:$AB$46),"0%")&amp;" of target"),"")</f>
        <v>No Data Log entries yet</v>
      </c>
      <c r="AK68" s="16" t="str">
        <f aca="false">IFERROR(IF(OR(J68="",J68="-"),"During [reporting period], FIVDB delivered: "&amp;E68&amp;" (target: "&amp;I68&amp;"). Source: "&amp;AM68&amp;".","During [reporting period], FIVDB delivered: "&amp;E68&amp;" (target: "&amp;I68&amp;"), contributing to indicator '"&amp;IFERROR(INDEX('7. IPTT'!$F$15:$F$37,MATCH(IF(ISNUMBER(FIND(",",J68)),TRIM(LEFT(J68,FIND(",",J68)-1)),TRIM(J68)),'7. IPTT'!$C$15:$C$37,0)),"")&amp;"' ("&amp;J68&amp;"). Source: "&amp;AM68&amp;"."),"During [reporting period], FIVDB delivered: "&amp;E68&amp;".")</f>
        <v>During [reporting period], FIVDB delivered: Hold quarterly coordination meetings with camp service providers (CiC and relevant stakeholders). (target: 4 camps, quarterly x2). Source: FIVDB Detailed Budget, rows 198-201 (2.5.10 Quarterly Coordination meeting with service providers at camp).</v>
      </c>
      <c r="AL68" s="16" t="s">
        <v>1246</v>
      </c>
      <c r="AM68" s="16" t="s">
        <v>1367</v>
      </c>
      <c r="AN68" s="22" t="s">
        <v>658</v>
      </c>
      <c r="AO68" s="16" t="s">
        <v>1368</v>
      </c>
    </row>
    <row r="69" customFormat="false" ht="99" hidden="false" customHeight="true" outlineLevel="0" collapsed="false">
      <c r="B69" s="22" t="s">
        <v>941</v>
      </c>
      <c r="C69" s="22" t="s">
        <v>1361</v>
      </c>
      <c r="D69" s="22" t="s">
        <v>709</v>
      </c>
      <c r="E69" s="16" t="s">
        <v>710</v>
      </c>
      <c r="F69" s="16"/>
      <c r="G69" s="16" t="s">
        <v>1369</v>
      </c>
      <c r="H69" s="16" t="s">
        <v>1103</v>
      </c>
      <c r="I69" s="16" t="s">
        <v>1287</v>
      </c>
      <c r="J69" s="22" t="s">
        <v>972</v>
      </c>
      <c r="K69" s="16" t="s">
        <v>1288</v>
      </c>
      <c r="L69" s="22" t="n">
        <v>20</v>
      </c>
      <c r="M69" s="22" t="s">
        <v>1197</v>
      </c>
      <c r="N69" s="49"/>
      <c r="O69" s="49"/>
      <c r="P69" s="49"/>
      <c r="Q69" s="49"/>
      <c r="R69" s="49"/>
      <c r="S69" s="49"/>
      <c r="T69" s="49"/>
      <c r="U69" s="49"/>
      <c r="V69" s="72" t="str">
        <f aca="false">IFERROR(IF((SUMIFS('10. Activity Data Log'!$U$7:$U$46,'10. Activity Data Log'!$C$7:$C$46,$D69,'10. Activity Data Log'!$AD$7:$AD$46,"Q1")+SUMIFS('11. Distribution Log'!$W$7:$W$46,'11. Distribution Log'!$C$7:$C$46,$D69,'11. Distribution Log'!$AI$7:$AI$46,"Q1"))=0,"",SUMIFS('10. Activity Data Log'!$U$7:$U$46,'10. Activity Data Log'!$C$7:$C$46,$D69,'10. Activity Data Log'!$AD$7:$AD$46,"Q1")+SUMIFS('11. Distribution Log'!$W$7:$W$46,'11. Distribution Log'!$C$7:$C$46,$D69,'11. Distribution Log'!$AI$7:$AI$46,"Q1")),"")</f>
        <v/>
      </c>
      <c r="W69" s="72" t="str">
        <f aca="false">IFERROR(IF((SUMIFS('10. Activity Data Log'!$U$7:$U$46,'10. Activity Data Log'!$C$7:$C$46,$D69,'10. Activity Data Log'!$AD$7:$AD$46,"Q2")+SUMIFS('11. Distribution Log'!$W$7:$W$46,'11. Distribution Log'!$C$7:$C$46,$D69,'11. Distribution Log'!$AI$7:$AI$46,"Q2"))=0,"",SUMIFS('10. Activity Data Log'!$U$7:$U$46,'10. Activity Data Log'!$C$7:$C$46,$D69,'10. Activity Data Log'!$AD$7:$AD$46,"Q2")+SUMIFS('11. Distribution Log'!$W$7:$W$46,'11. Distribution Log'!$C$7:$C$46,$D69,'11. Distribution Log'!$AI$7:$AI$46,"Q2")),"")</f>
        <v/>
      </c>
      <c r="X69" s="72" t="str">
        <f aca="false">IFERROR(IF((SUMIFS('10. Activity Data Log'!$U$7:$U$46,'10. Activity Data Log'!$C$7:$C$46,$D69,'10. Activity Data Log'!$AD$7:$AD$46,"Q3")+SUMIFS('11. Distribution Log'!$W$7:$W$46,'11. Distribution Log'!$C$7:$C$46,$D69,'11. Distribution Log'!$AI$7:$AI$46,"Q3"))=0,"",SUMIFS('10. Activity Data Log'!$U$7:$U$46,'10. Activity Data Log'!$C$7:$C$46,$D69,'10. Activity Data Log'!$AD$7:$AD$46,"Q3")+SUMIFS('11. Distribution Log'!$W$7:$W$46,'11. Distribution Log'!$C$7:$C$46,$D69,'11. Distribution Log'!$AI$7:$AI$46,"Q3")),"")</f>
        <v/>
      </c>
      <c r="Y69" s="72" t="str">
        <f aca="false">IFERROR(IF((SUMIFS('10. Activity Data Log'!$U$7:$U$46,'10. Activity Data Log'!$C$7:$C$46,$D69,'10. Activity Data Log'!$AD$7:$AD$46,"Q4")+SUMIFS('11. Distribution Log'!$W$7:$W$46,'11. Distribution Log'!$C$7:$C$46,$D69,'11. Distribution Log'!$AI$7:$AI$46,"Q4"))=0,"",SUMIFS('10. Activity Data Log'!$U$7:$U$46,'10. Activity Data Log'!$C$7:$C$46,$D69,'10. Activity Data Log'!$AD$7:$AD$46,"Q4")+SUMIFS('11. Distribution Log'!$W$7:$W$46,'11. Distribution Log'!$C$7:$C$46,$D69,'11. Distribution Log'!$AI$7:$AI$46,"Q4")),"")</f>
        <v/>
      </c>
      <c r="Z69" s="72" t="str">
        <f aca="false">IFERROR(IF((SUMIFS('10. Activity Data Log'!$U$7:$U$46,'10. Activity Data Log'!$C$7:$C$46,$D69,'10. Activity Data Log'!$AD$7:$AD$46,"Q5")+SUMIFS('11. Distribution Log'!$W$7:$W$46,'11. Distribution Log'!$C$7:$C$46,$D69,'11. Distribution Log'!$AI$7:$AI$46,"Q5"))=0,"",SUMIFS('10. Activity Data Log'!$U$7:$U$46,'10. Activity Data Log'!$C$7:$C$46,$D69,'10. Activity Data Log'!$AD$7:$AD$46,"Q5")+SUMIFS('11. Distribution Log'!$W$7:$W$46,'11. Distribution Log'!$C$7:$C$46,$D69,'11. Distribution Log'!$AI$7:$AI$46,"Q5")),"")</f>
        <v/>
      </c>
      <c r="AA69" s="72" t="str">
        <f aca="false">IFERROR(IF((SUMIFS('10. Activity Data Log'!$U$7:$U$46,'10. Activity Data Log'!$C$7:$C$46,$D69,'10. Activity Data Log'!$AD$7:$AD$46,"Q6")+SUMIFS('11. Distribution Log'!$W$7:$W$46,'11. Distribution Log'!$C$7:$C$46,$D69,'11. Distribution Log'!$AI$7:$AI$46,"Q6"))=0,"",SUMIFS('10. Activity Data Log'!$U$7:$U$46,'10. Activity Data Log'!$C$7:$C$46,$D69,'10. Activity Data Log'!$AD$7:$AD$46,"Q6")+SUMIFS('11. Distribution Log'!$W$7:$W$46,'11. Distribution Log'!$C$7:$C$46,$D69,'11. Distribution Log'!$AI$7:$AI$46,"Q6")),"")</f>
        <v/>
      </c>
      <c r="AB69" s="72" t="str">
        <f aca="false">IFERROR(IF((SUMIFS('10. Activity Data Log'!$U$7:$U$46,'10. Activity Data Log'!$C$7:$C$46,$D69,'10. Activity Data Log'!$AD$7:$AD$46,"Q7")+SUMIFS('11. Distribution Log'!$W$7:$W$46,'11. Distribution Log'!$C$7:$C$46,$D69,'11. Distribution Log'!$AI$7:$AI$46,"Q7"))=0,"",SUMIFS('10. Activity Data Log'!$U$7:$U$46,'10. Activity Data Log'!$C$7:$C$46,$D69,'10. Activity Data Log'!$AD$7:$AD$46,"Q7")+SUMIFS('11. Distribution Log'!$W$7:$W$46,'11. Distribution Log'!$C$7:$C$46,$D69,'11. Distribution Log'!$AI$7:$AI$46,"Q7")),"")</f>
        <v/>
      </c>
      <c r="AC69" s="72" t="str">
        <f aca="false">IFERROR(IF((SUMIFS('10. Activity Data Log'!$U$7:$U$46,'10. Activity Data Log'!$C$7:$C$46,$D69,'10. Activity Data Log'!$AD$7:$AD$46,"Q8")+SUMIFS('11. Distribution Log'!$W$7:$W$46,'11. Distribution Log'!$C$7:$C$46,$D69,'11. Distribution Log'!$AI$7:$AI$46,"Q8"))=0,"",SUMIFS('10. Activity Data Log'!$U$7:$U$46,'10. Activity Data Log'!$C$7:$C$46,$D69,'10. Activity Data Log'!$AD$7:$AD$46,"Q8")+SUMIFS('11. Distribution Log'!$W$7:$W$46,'11. Distribution Log'!$C$7:$C$46,$D69,'11. Distribution Log'!$AI$7:$AI$46,"Q8")),"")</f>
        <v/>
      </c>
      <c r="AD69" s="68" t="str">
        <f aca="false">IFERROR(IF(SUMPRODUCT((COLUMN(N69:U69)-COLUMN(N69)+1&lt;='7. IPTT'!$C$3)*N(N69:U69))=0,"",SUMPRODUCT((COLUMN(V69:AC69)-COLUMN(V69)+1&lt;='7. IPTT'!$C$3)*N(V69:AC69))/SUMPRODUCT((COLUMN(N69:U69)-COLUMN(N69)+1&lt;='7. IPTT'!$C$3)*N(N69:U69))),"")</f>
        <v/>
      </c>
      <c r="AE69" s="22" t="str">
        <f aca="false">IFERROR(IF(AD69="","No data yet",IF(AD69&gt;=0.9,"On Track",IF(AD69&gt;=0.7,"Slightly Behind","Behind"))),"")</f>
        <v>No data yet</v>
      </c>
      <c r="AF69" s="16" t="s">
        <v>1363</v>
      </c>
      <c r="AG69" s="16" t="s">
        <v>1363</v>
      </c>
      <c r="AH69" s="73" t="n">
        <v>2064.34</v>
      </c>
      <c r="AI69" s="74" t="n">
        <v>295200.62</v>
      </c>
      <c r="AJ69" s="16" t="str">
        <f aca="false">IFERROR(IF(COUNTIF('10. Activity Data Log'!$C$7:$C$46,$D69)=0,"No Data Log entries yet",COUNTIF('10. Activity Data Log'!$C$7:$C$46,$D69)&amp;" entries logged, avg "&amp;TEXT(AVERAGEIF('10. Activity Data Log'!$C$7:$C$46,$D69,'10. Activity Data Log'!$AB$7:$AB$46),"0%")&amp;" of target"),"")</f>
        <v>No Data Log entries yet</v>
      </c>
      <c r="AK69" s="16" t="str">
        <f aca="false">IFERROR(IF(OR(J69="",J69="-"),"During [reporting period], FIVDB delivered: "&amp;E69&amp;" (target: "&amp;I69&amp;"). Source: "&amp;AM69&amp;".","During [reporting period], FIVDB delivered: "&amp;E69&amp;" (target: "&amp;I69&amp;"), contributing to indicator '"&amp;IFERROR(INDEX('7. IPTT'!$F$15:$F$37,MATCH(IF(ISNUMBER(FIND(",",J69)),TRIM(LEFT(J69,FIND(",",J69)-1)),TRIM(J69)),'7. IPTT'!$C$15:$C$37,0)),"")&amp;"' ("&amp;J69&amp;"). Source: "&amp;AM69&amp;"."),"During [reporting period], FIVDB delivered: "&amp;E69&amp;".")</f>
        <v>During [reporting period], FIVDB delivered: Enhance the capacity of implementing partners on CP and operations. (target: 20 participants, 1 day), contributing to indicator 'Average % knowledge increase amongst participants on the protection subject in focus' (R2-I3). Source: FIVDB Detailed Budget, rows 202-205 (2.5.11 Enhancing the Capacity of Implementing Partners on CP and Operations).</v>
      </c>
      <c r="AL69" s="16" t="s">
        <v>1335</v>
      </c>
      <c r="AM69" s="16" t="s">
        <v>1370</v>
      </c>
      <c r="AN69" s="22" t="s">
        <v>649</v>
      </c>
      <c r="AO69" s="16" t="s">
        <v>1371</v>
      </c>
    </row>
    <row r="70" customFormat="false" ht="99" hidden="false" customHeight="true" outlineLevel="0" collapsed="false">
      <c r="B70" s="22" t="s">
        <v>941</v>
      </c>
      <c r="C70" s="22" t="s">
        <v>1361</v>
      </c>
      <c r="D70" s="22" t="s">
        <v>711</v>
      </c>
      <c r="E70" s="16" t="s">
        <v>712</v>
      </c>
      <c r="F70" s="16"/>
      <c r="G70" s="16" t="s">
        <v>1321</v>
      </c>
      <c r="H70" s="16" t="s">
        <v>1103</v>
      </c>
      <c r="I70" s="16" t="s">
        <v>1372</v>
      </c>
      <c r="J70" s="22" t="s">
        <v>543</v>
      </c>
      <c r="K70" s="16" t="s">
        <v>1245</v>
      </c>
      <c r="L70" s="22" t="n">
        <v>4</v>
      </c>
      <c r="M70" s="22" t="s">
        <v>1279</v>
      </c>
      <c r="N70" s="49"/>
      <c r="O70" s="49"/>
      <c r="P70" s="49"/>
      <c r="Q70" s="49"/>
      <c r="R70" s="49"/>
      <c r="S70" s="49"/>
      <c r="T70" s="49"/>
      <c r="U70" s="49"/>
      <c r="V70" s="72" t="str">
        <f aca="false">IFERROR(IF((SUMIFS('10. Activity Data Log'!$U$7:$U$46,'10. Activity Data Log'!$C$7:$C$46,$D70,'10. Activity Data Log'!$AD$7:$AD$46,"Q1")+SUMIFS('11. Distribution Log'!$W$7:$W$46,'11. Distribution Log'!$C$7:$C$46,$D70,'11. Distribution Log'!$AI$7:$AI$46,"Q1"))=0,"",SUMIFS('10. Activity Data Log'!$U$7:$U$46,'10. Activity Data Log'!$C$7:$C$46,$D70,'10. Activity Data Log'!$AD$7:$AD$46,"Q1")+SUMIFS('11. Distribution Log'!$W$7:$W$46,'11. Distribution Log'!$C$7:$C$46,$D70,'11. Distribution Log'!$AI$7:$AI$46,"Q1")),"")</f>
        <v/>
      </c>
      <c r="W70" s="72" t="str">
        <f aca="false">IFERROR(IF((SUMIFS('10. Activity Data Log'!$U$7:$U$46,'10. Activity Data Log'!$C$7:$C$46,$D70,'10. Activity Data Log'!$AD$7:$AD$46,"Q2")+SUMIFS('11. Distribution Log'!$W$7:$W$46,'11. Distribution Log'!$C$7:$C$46,$D70,'11. Distribution Log'!$AI$7:$AI$46,"Q2"))=0,"",SUMIFS('10. Activity Data Log'!$U$7:$U$46,'10. Activity Data Log'!$C$7:$C$46,$D70,'10. Activity Data Log'!$AD$7:$AD$46,"Q2")+SUMIFS('11. Distribution Log'!$W$7:$W$46,'11. Distribution Log'!$C$7:$C$46,$D70,'11. Distribution Log'!$AI$7:$AI$46,"Q2")),"")</f>
        <v/>
      </c>
      <c r="X70" s="72" t="str">
        <f aca="false">IFERROR(IF((SUMIFS('10. Activity Data Log'!$U$7:$U$46,'10. Activity Data Log'!$C$7:$C$46,$D70,'10. Activity Data Log'!$AD$7:$AD$46,"Q3")+SUMIFS('11. Distribution Log'!$W$7:$W$46,'11. Distribution Log'!$C$7:$C$46,$D70,'11. Distribution Log'!$AI$7:$AI$46,"Q3"))=0,"",SUMIFS('10. Activity Data Log'!$U$7:$U$46,'10. Activity Data Log'!$C$7:$C$46,$D70,'10. Activity Data Log'!$AD$7:$AD$46,"Q3")+SUMIFS('11. Distribution Log'!$W$7:$W$46,'11. Distribution Log'!$C$7:$C$46,$D70,'11. Distribution Log'!$AI$7:$AI$46,"Q3")),"")</f>
        <v/>
      </c>
      <c r="Y70" s="72" t="str">
        <f aca="false">IFERROR(IF((SUMIFS('10. Activity Data Log'!$U$7:$U$46,'10. Activity Data Log'!$C$7:$C$46,$D70,'10. Activity Data Log'!$AD$7:$AD$46,"Q4")+SUMIFS('11. Distribution Log'!$W$7:$W$46,'11. Distribution Log'!$C$7:$C$46,$D70,'11. Distribution Log'!$AI$7:$AI$46,"Q4"))=0,"",SUMIFS('10. Activity Data Log'!$U$7:$U$46,'10. Activity Data Log'!$C$7:$C$46,$D70,'10. Activity Data Log'!$AD$7:$AD$46,"Q4")+SUMIFS('11. Distribution Log'!$W$7:$W$46,'11. Distribution Log'!$C$7:$C$46,$D70,'11. Distribution Log'!$AI$7:$AI$46,"Q4")),"")</f>
        <v/>
      </c>
      <c r="Z70" s="72" t="str">
        <f aca="false">IFERROR(IF((SUMIFS('10. Activity Data Log'!$U$7:$U$46,'10. Activity Data Log'!$C$7:$C$46,$D70,'10. Activity Data Log'!$AD$7:$AD$46,"Q5")+SUMIFS('11. Distribution Log'!$W$7:$W$46,'11. Distribution Log'!$C$7:$C$46,$D70,'11. Distribution Log'!$AI$7:$AI$46,"Q5"))=0,"",SUMIFS('10. Activity Data Log'!$U$7:$U$46,'10. Activity Data Log'!$C$7:$C$46,$D70,'10. Activity Data Log'!$AD$7:$AD$46,"Q5")+SUMIFS('11. Distribution Log'!$W$7:$W$46,'11. Distribution Log'!$C$7:$C$46,$D70,'11. Distribution Log'!$AI$7:$AI$46,"Q5")),"")</f>
        <v/>
      </c>
      <c r="AA70" s="72" t="str">
        <f aca="false">IFERROR(IF((SUMIFS('10. Activity Data Log'!$U$7:$U$46,'10. Activity Data Log'!$C$7:$C$46,$D70,'10. Activity Data Log'!$AD$7:$AD$46,"Q6")+SUMIFS('11. Distribution Log'!$W$7:$W$46,'11. Distribution Log'!$C$7:$C$46,$D70,'11. Distribution Log'!$AI$7:$AI$46,"Q6"))=0,"",SUMIFS('10. Activity Data Log'!$U$7:$U$46,'10. Activity Data Log'!$C$7:$C$46,$D70,'10. Activity Data Log'!$AD$7:$AD$46,"Q6")+SUMIFS('11. Distribution Log'!$W$7:$W$46,'11. Distribution Log'!$C$7:$C$46,$D70,'11. Distribution Log'!$AI$7:$AI$46,"Q6")),"")</f>
        <v/>
      </c>
      <c r="AB70" s="72" t="str">
        <f aca="false">IFERROR(IF((SUMIFS('10. Activity Data Log'!$U$7:$U$46,'10. Activity Data Log'!$C$7:$C$46,$D70,'10. Activity Data Log'!$AD$7:$AD$46,"Q7")+SUMIFS('11. Distribution Log'!$W$7:$W$46,'11. Distribution Log'!$C$7:$C$46,$D70,'11. Distribution Log'!$AI$7:$AI$46,"Q7"))=0,"",SUMIFS('10. Activity Data Log'!$U$7:$U$46,'10. Activity Data Log'!$C$7:$C$46,$D70,'10. Activity Data Log'!$AD$7:$AD$46,"Q7")+SUMIFS('11. Distribution Log'!$W$7:$W$46,'11. Distribution Log'!$C$7:$C$46,$D70,'11. Distribution Log'!$AI$7:$AI$46,"Q7")),"")</f>
        <v/>
      </c>
      <c r="AC70" s="72" t="str">
        <f aca="false">IFERROR(IF((SUMIFS('10. Activity Data Log'!$U$7:$U$46,'10. Activity Data Log'!$C$7:$C$46,$D70,'10. Activity Data Log'!$AD$7:$AD$46,"Q8")+SUMIFS('11. Distribution Log'!$W$7:$W$46,'11. Distribution Log'!$C$7:$C$46,$D70,'11. Distribution Log'!$AI$7:$AI$46,"Q8"))=0,"",SUMIFS('10. Activity Data Log'!$U$7:$U$46,'10. Activity Data Log'!$C$7:$C$46,$D70,'10. Activity Data Log'!$AD$7:$AD$46,"Q8")+SUMIFS('11. Distribution Log'!$W$7:$W$46,'11. Distribution Log'!$C$7:$C$46,$D70,'11. Distribution Log'!$AI$7:$AI$46,"Q8")),"")</f>
        <v/>
      </c>
      <c r="AD70" s="68" t="str">
        <f aca="false">IFERROR(IF(SUMPRODUCT((COLUMN(N70:U70)-COLUMN(N70)+1&lt;='7. IPTT'!$C$3)*N(N70:U70))=0,"",SUMPRODUCT((COLUMN(V70:AC70)-COLUMN(V70)+1&lt;='7. IPTT'!$C$3)*N(V70:AC70))/SUMPRODUCT((COLUMN(N70:U70)-COLUMN(N70)+1&lt;='7. IPTT'!$C$3)*N(N70:U70))),"")</f>
        <v/>
      </c>
      <c r="AE70" s="22" t="str">
        <f aca="false">IFERROR(IF(AD70="","No data yet",IF(AD70&gt;=0.9,"On Track",IF(AD70&gt;=0.7,"Slightly Behind","Behind"))),"")</f>
        <v>No data yet</v>
      </c>
      <c r="AF70" s="16" t="s">
        <v>1363</v>
      </c>
      <c r="AG70" s="16" t="s">
        <v>1363</v>
      </c>
      <c r="AH70" s="73" t="n">
        <v>2064.34</v>
      </c>
      <c r="AI70" s="74" t="n">
        <v>295200.62</v>
      </c>
      <c r="AJ70" s="16" t="str">
        <f aca="false">IFERROR(IF(COUNTIF('10. Activity Data Log'!$C$7:$C$46,$D70)=0,"No Data Log entries yet",COUNTIF('10. Activity Data Log'!$C$7:$C$46,$D70)&amp;" entries logged, avg "&amp;TEXT(AVERAGEIF('10. Activity Data Log'!$C$7:$C$46,$D70,'10. Activity Data Log'!$AB$7:$AB$46),"0%")&amp;" of target"),"")</f>
        <v>No Data Log entries yet</v>
      </c>
      <c r="AK70" s="16" t="str">
        <f aca="false">IFERROR(IF(OR(J70="",J70="-"),"During [reporting period], FIVDB delivered: "&amp;E70&amp;" (target: "&amp;I70&amp;"). Source: "&amp;AM70&amp;".","During [reporting period], FIVDB delivered: "&amp;E70&amp;" (target: "&amp;I70&amp;"), contributing to indicator '"&amp;IFERROR(INDEX('7. IPTT'!$F$15:$F$37,MATCH(IF(ISNUMBER(FIND(",",J70)),TRIM(LEFT(J70,FIND(",",J70)-1)),TRIM(J70)),'7. IPTT'!$C$15:$C$37,0)),"")&amp;"' ("&amp;J70&amp;"). Source: "&amp;AM70&amp;"."),"During [reporting period], FIVDB delivered: "&amp;E70&amp;".")</f>
        <v>During [reporting period], FIVDB delivered: Conduct quarterly joint field-monitoring visits with government officials (CiC office and other actors). (target: 4 camps, quarterly x4). Source: FIVDB Detailed Budget, rows 206-207 (2.5.12 Quarterly Joint field monitoring visit with government officials).</v>
      </c>
      <c r="AL70" s="16" t="s">
        <v>1373</v>
      </c>
      <c r="AM70" s="16" t="s">
        <v>1374</v>
      </c>
      <c r="AN70" s="22" t="s">
        <v>658</v>
      </c>
      <c r="AO70" s="16" t="s">
        <v>1375</v>
      </c>
    </row>
    <row r="71" customFormat="false" ht="99" hidden="false" customHeight="true" outlineLevel="0" collapsed="false">
      <c r="B71" s="22" t="s">
        <v>941</v>
      </c>
      <c r="C71" s="22" t="s">
        <v>1361</v>
      </c>
      <c r="D71" s="22" t="s">
        <v>713</v>
      </c>
      <c r="E71" s="16" t="s">
        <v>714</v>
      </c>
      <c r="F71" s="16"/>
      <c r="G71" s="16" t="s">
        <v>1194</v>
      </c>
      <c r="H71" s="16" t="s">
        <v>1103</v>
      </c>
      <c r="I71" s="16" t="s">
        <v>1376</v>
      </c>
      <c r="J71" s="22" t="s">
        <v>543</v>
      </c>
      <c r="K71" s="16" t="s">
        <v>1245</v>
      </c>
      <c r="L71" s="22" t="n">
        <v>4</v>
      </c>
      <c r="M71" s="22" t="s">
        <v>1279</v>
      </c>
      <c r="N71" s="49"/>
      <c r="O71" s="49"/>
      <c r="P71" s="49"/>
      <c r="Q71" s="49"/>
      <c r="R71" s="49"/>
      <c r="S71" s="49"/>
      <c r="T71" s="49"/>
      <c r="U71" s="49"/>
      <c r="V71" s="72" t="str">
        <f aca="false">IFERROR(IF((SUMIFS('10. Activity Data Log'!$U$7:$U$46,'10. Activity Data Log'!$C$7:$C$46,$D71,'10. Activity Data Log'!$AD$7:$AD$46,"Q1")+SUMIFS('11. Distribution Log'!$W$7:$W$46,'11. Distribution Log'!$C$7:$C$46,$D71,'11. Distribution Log'!$AI$7:$AI$46,"Q1"))=0,"",SUMIFS('10. Activity Data Log'!$U$7:$U$46,'10. Activity Data Log'!$C$7:$C$46,$D71,'10. Activity Data Log'!$AD$7:$AD$46,"Q1")+SUMIFS('11. Distribution Log'!$W$7:$W$46,'11. Distribution Log'!$C$7:$C$46,$D71,'11. Distribution Log'!$AI$7:$AI$46,"Q1")),"")</f>
        <v/>
      </c>
      <c r="W71" s="72" t="str">
        <f aca="false">IFERROR(IF((SUMIFS('10. Activity Data Log'!$U$7:$U$46,'10. Activity Data Log'!$C$7:$C$46,$D71,'10. Activity Data Log'!$AD$7:$AD$46,"Q2")+SUMIFS('11. Distribution Log'!$W$7:$W$46,'11. Distribution Log'!$C$7:$C$46,$D71,'11. Distribution Log'!$AI$7:$AI$46,"Q2"))=0,"",SUMIFS('10. Activity Data Log'!$U$7:$U$46,'10. Activity Data Log'!$C$7:$C$46,$D71,'10. Activity Data Log'!$AD$7:$AD$46,"Q2")+SUMIFS('11. Distribution Log'!$W$7:$W$46,'11. Distribution Log'!$C$7:$C$46,$D71,'11. Distribution Log'!$AI$7:$AI$46,"Q2")),"")</f>
        <v/>
      </c>
      <c r="X71" s="72" t="str">
        <f aca="false">IFERROR(IF((SUMIFS('10. Activity Data Log'!$U$7:$U$46,'10. Activity Data Log'!$C$7:$C$46,$D71,'10. Activity Data Log'!$AD$7:$AD$46,"Q3")+SUMIFS('11. Distribution Log'!$W$7:$W$46,'11. Distribution Log'!$C$7:$C$46,$D71,'11. Distribution Log'!$AI$7:$AI$46,"Q3"))=0,"",SUMIFS('10. Activity Data Log'!$U$7:$U$46,'10. Activity Data Log'!$C$7:$C$46,$D71,'10. Activity Data Log'!$AD$7:$AD$46,"Q3")+SUMIFS('11. Distribution Log'!$W$7:$W$46,'11. Distribution Log'!$C$7:$C$46,$D71,'11. Distribution Log'!$AI$7:$AI$46,"Q3")),"")</f>
        <v/>
      </c>
      <c r="Y71" s="72" t="str">
        <f aca="false">IFERROR(IF((SUMIFS('10. Activity Data Log'!$U$7:$U$46,'10. Activity Data Log'!$C$7:$C$46,$D71,'10. Activity Data Log'!$AD$7:$AD$46,"Q4")+SUMIFS('11. Distribution Log'!$W$7:$W$46,'11. Distribution Log'!$C$7:$C$46,$D71,'11. Distribution Log'!$AI$7:$AI$46,"Q4"))=0,"",SUMIFS('10. Activity Data Log'!$U$7:$U$46,'10. Activity Data Log'!$C$7:$C$46,$D71,'10. Activity Data Log'!$AD$7:$AD$46,"Q4")+SUMIFS('11. Distribution Log'!$W$7:$W$46,'11. Distribution Log'!$C$7:$C$46,$D71,'11. Distribution Log'!$AI$7:$AI$46,"Q4")),"")</f>
        <v/>
      </c>
      <c r="Z71" s="72" t="str">
        <f aca="false">IFERROR(IF((SUMIFS('10. Activity Data Log'!$U$7:$U$46,'10. Activity Data Log'!$C$7:$C$46,$D71,'10. Activity Data Log'!$AD$7:$AD$46,"Q5")+SUMIFS('11. Distribution Log'!$W$7:$W$46,'11. Distribution Log'!$C$7:$C$46,$D71,'11. Distribution Log'!$AI$7:$AI$46,"Q5"))=0,"",SUMIFS('10. Activity Data Log'!$U$7:$U$46,'10. Activity Data Log'!$C$7:$C$46,$D71,'10. Activity Data Log'!$AD$7:$AD$46,"Q5")+SUMIFS('11. Distribution Log'!$W$7:$W$46,'11. Distribution Log'!$C$7:$C$46,$D71,'11. Distribution Log'!$AI$7:$AI$46,"Q5")),"")</f>
        <v/>
      </c>
      <c r="AA71" s="72" t="str">
        <f aca="false">IFERROR(IF((SUMIFS('10. Activity Data Log'!$U$7:$U$46,'10. Activity Data Log'!$C$7:$C$46,$D71,'10. Activity Data Log'!$AD$7:$AD$46,"Q6")+SUMIFS('11. Distribution Log'!$W$7:$W$46,'11. Distribution Log'!$C$7:$C$46,$D71,'11. Distribution Log'!$AI$7:$AI$46,"Q6"))=0,"",SUMIFS('10. Activity Data Log'!$U$7:$U$46,'10. Activity Data Log'!$C$7:$C$46,$D71,'10. Activity Data Log'!$AD$7:$AD$46,"Q6")+SUMIFS('11. Distribution Log'!$W$7:$W$46,'11. Distribution Log'!$C$7:$C$46,$D71,'11. Distribution Log'!$AI$7:$AI$46,"Q6")),"")</f>
        <v/>
      </c>
      <c r="AB71" s="72" t="str">
        <f aca="false">IFERROR(IF((SUMIFS('10. Activity Data Log'!$U$7:$U$46,'10. Activity Data Log'!$C$7:$C$46,$D71,'10. Activity Data Log'!$AD$7:$AD$46,"Q7")+SUMIFS('11. Distribution Log'!$W$7:$W$46,'11. Distribution Log'!$C$7:$C$46,$D71,'11. Distribution Log'!$AI$7:$AI$46,"Q7"))=0,"",SUMIFS('10. Activity Data Log'!$U$7:$U$46,'10. Activity Data Log'!$C$7:$C$46,$D71,'10. Activity Data Log'!$AD$7:$AD$46,"Q7")+SUMIFS('11. Distribution Log'!$W$7:$W$46,'11. Distribution Log'!$C$7:$C$46,$D71,'11. Distribution Log'!$AI$7:$AI$46,"Q7")),"")</f>
        <v/>
      </c>
      <c r="AC71" s="72" t="str">
        <f aca="false">IFERROR(IF((SUMIFS('10. Activity Data Log'!$U$7:$U$46,'10. Activity Data Log'!$C$7:$C$46,$D71,'10. Activity Data Log'!$AD$7:$AD$46,"Q8")+SUMIFS('11. Distribution Log'!$W$7:$W$46,'11. Distribution Log'!$C$7:$C$46,$D71,'11. Distribution Log'!$AI$7:$AI$46,"Q8"))=0,"",SUMIFS('10. Activity Data Log'!$U$7:$U$46,'10. Activity Data Log'!$C$7:$C$46,$D71,'10. Activity Data Log'!$AD$7:$AD$46,"Q8")+SUMIFS('11. Distribution Log'!$W$7:$W$46,'11. Distribution Log'!$C$7:$C$46,$D71,'11. Distribution Log'!$AI$7:$AI$46,"Q8")),"")</f>
        <v/>
      </c>
      <c r="AD71" s="68" t="str">
        <f aca="false">IFERROR(IF(SUMPRODUCT((COLUMN(N71:U71)-COLUMN(N71)+1&lt;='7. IPTT'!$C$3)*N(N71:U71))=0,"",SUMPRODUCT((COLUMN(V71:AC71)-COLUMN(V71)+1&lt;='7. IPTT'!$C$3)*N(V71:AC71))/SUMPRODUCT((COLUMN(N71:U71)-COLUMN(N71)+1&lt;='7. IPTT'!$C$3)*N(N71:U71))),"")</f>
        <v/>
      </c>
      <c r="AE71" s="22" t="str">
        <f aca="false">IFERROR(IF(AD71="","No data yet",IF(AD71&gt;=0.9,"On Track",IF(AD71&gt;=0.7,"Slightly Behind","Behind"))),"")</f>
        <v>No data yet</v>
      </c>
      <c r="AF71" s="16" t="s">
        <v>1363</v>
      </c>
      <c r="AG71" s="16" t="s">
        <v>1363</v>
      </c>
      <c r="AH71" s="73" t="n">
        <v>2064.34</v>
      </c>
      <c r="AI71" s="74" t="n">
        <v>295200.62</v>
      </c>
      <c r="AJ71" s="16" t="str">
        <f aca="false">IFERROR(IF(COUNTIF('10. Activity Data Log'!$C$7:$C$46,$D71)=0,"No Data Log entries yet",COUNTIF('10. Activity Data Log'!$C$7:$C$46,$D71)&amp;" entries logged, avg "&amp;TEXT(AVERAGEIF('10. Activity Data Log'!$C$7:$C$46,$D71,'10. Activity Data Log'!$AB$7:$AB$46),"0%")&amp;" of target"),"")</f>
        <v>No Data Log entries yet</v>
      </c>
      <c r="AK71" s="16" t="str">
        <f aca="false">IFERROR(IF(OR(J71="",J71="-"),"During [reporting period], FIVDB delivered: "&amp;E71&amp;" (target: "&amp;I71&amp;"). Source: "&amp;AM71&amp;".","During [reporting period], FIVDB delivered: "&amp;E71&amp;" (target: "&amp;I71&amp;"), contributing to indicator '"&amp;IFERROR(INDEX('7. IPTT'!$F$15:$F$37,MATCH(IF(ISNUMBER(FIND(",",J71)),TRIM(LEFT(J71,FIND(",",J71)-1)),TRIM(J71)),'7. IPTT'!$C$15:$C$37,0)),"")&amp;"' ("&amp;J71&amp;"). Source: "&amp;AM71&amp;"."),"During [reporting period], FIVDB delivered: "&amp;E71&amp;".")</f>
        <v>During [reporting period], FIVDB delivered: Hold a project inception workshop with relevant stakeholders at camp level. (target: 4 camps, one-time). Source: FIVDB Detailed Budget, rows 208-211 (2.5.13 Project inception workshop with different relevant stakeholders at camp level).</v>
      </c>
      <c r="AL71" s="16" t="s">
        <v>1377</v>
      </c>
      <c r="AM71" s="16" t="s">
        <v>1378</v>
      </c>
      <c r="AN71" s="22" t="s">
        <v>658</v>
      </c>
      <c r="AO71" s="16" t="s">
        <v>1379</v>
      </c>
    </row>
    <row r="72" customFormat="false" ht="19.5" hidden="false" customHeight="true" outlineLevel="0" collapsed="false">
      <c r="B72" s="66" t="s">
        <v>1380</v>
      </c>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row>
    <row r="73" customFormat="false" ht="99" hidden="false" customHeight="true" outlineLevel="0" collapsed="false">
      <c r="B73" s="22" t="s">
        <v>1381</v>
      </c>
      <c r="C73" s="22" t="s">
        <v>1382</v>
      </c>
      <c r="D73" s="22" t="s">
        <v>1383</v>
      </c>
      <c r="E73" s="16" t="s">
        <v>1384</v>
      </c>
      <c r="F73" s="16"/>
      <c r="G73" s="16" t="s">
        <v>1385</v>
      </c>
      <c r="H73" s="16" t="s">
        <v>1103</v>
      </c>
      <c r="I73" s="16" t="s">
        <v>1386</v>
      </c>
      <c r="J73" s="22" t="s">
        <v>543</v>
      </c>
      <c r="K73" s="16" t="s">
        <v>1245</v>
      </c>
      <c r="L73" s="22" t="s">
        <v>1106</v>
      </c>
      <c r="M73" s="22" t="s">
        <v>1387</v>
      </c>
      <c r="N73" s="49"/>
      <c r="O73" s="49"/>
      <c r="P73" s="49"/>
      <c r="Q73" s="49"/>
      <c r="R73" s="49"/>
      <c r="S73" s="49"/>
      <c r="T73" s="49"/>
      <c r="U73" s="49"/>
      <c r="V73" s="72" t="str">
        <f aca="false">IFERROR(IF((SUMIFS('10. Activity Data Log'!$U$7:$U$46,'10. Activity Data Log'!$C$7:$C$46,$D73,'10. Activity Data Log'!$AD$7:$AD$46,"Q1")+SUMIFS('11. Distribution Log'!$W$7:$W$46,'11. Distribution Log'!$C$7:$C$46,$D73,'11. Distribution Log'!$AI$7:$AI$46,"Q1"))=0,"",SUMIFS('10. Activity Data Log'!$U$7:$U$46,'10. Activity Data Log'!$C$7:$C$46,$D73,'10. Activity Data Log'!$AD$7:$AD$46,"Q1")+SUMIFS('11. Distribution Log'!$W$7:$W$46,'11. Distribution Log'!$C$7:$C$46,$D73,'11. Distribution Log'!$AI$7:$AI$46,"Q1")),"")</f>
        <v/>
      </c>
      <c r="W73" s="72" t="str">
        <f aca="false">IFERROR(IF((SUMIFS('10. Activity Data Log'!$U$7:$U$46,'10. Activity Data Log'!$C$7:$C$46,$D73,'10. Activity Data Log'!$AD$7:$AD$46,"Q2")+SUMIFS('11. Distribution Log'!$W$7:$W$46,'11. Distribution Log'!$C$7:$C$46,$D73,'11. Distribution Log'!$AI$7:$AI$46,"Q2"))=0,"",SUMIFS('10. Activity Data Log'!$U$7:$U$46,'10. Activity Data Log'!$C$7:$C$46,$D73,'10. Activity Data Log'!$AD$7:$AD$46,"Q2")+SUMIFS('11. Distribution Log'!$W$7:$W$46,'11. Distribution Log'!$C$7:$C$46,$D73,'11. Distribution Log'!$AI$7:$AI$46,"Q2")),"")</f>
        <v/>
      </c>
      <c r="X73" s="72" t="str">
        <f aca="false">IFERROR(IF((SUMIFS('10. Activity Data Log'!$U$7:$U$46,'10. Activity Data Log'!$C$7:$C$46,$D73,'10. Activity Data Log'!$AD$7:$AD$46,"Q3")+SUMIFS('11. Distribution Log'!$W$7:$W$46,'11. Distribution Log'!$C$7:$C$46,$D73,'11. Distribution Log'!$AI$7:$AI$46,"Q3"))=0,"",SUMIFS('10. Activity Data Log'!$U$7:$U$46,'10. Activity Data Log'!$C$7:$C$46,$D73,'10. Activity Data Log'!$AD$7:$AD$46,"Q3")+SUMIFS('11. Distribution Log'!$W$7:$W$46,'11. Distribution Log'!$C$7:$C$46,$D73,'11. Distribution Log'!$AI$7:$AI$46,"Q3")),"")</f>
        <v/>
      </c>
      <c r="Y73" s="72" t="str">
        <f aca="false">IFERROR(IF((SUMIFS('10. Activity Data Log'!$U$7:$U$46,'10. Activity Data Log'!$C$7:$C$46,$D73,'10. Activity Data Log'!$AD$7:$AD$46,"Q4")+SUMIFS('11. Distribution Log'!$W$7:$W$46,'11. Distribution Log'!$C$7:$C$46,$D73,'11. Distribution Log'!$AI$7:$AI$46,"Q4"))=0,"",SUMIFS('10. Activity Data Log'!$U$7:$U$46,'10. Activity Data Log'!$C$7:$C$46,$D73,'10. Activity Data Log'!$AD$7:$AD$46,"Q4")+SUMIFS('11. Distribution Log'!$W$7:$W$46,'11. Distribution Log'!$C$7:$C$46,$D73,'11. Distribution Log'!$AI$7:$AI$46,"Q4")),"")</f>
        <v/>
      </c>
      <c r="Z73" s="72" t="str">
        <f aca="false">IFERROR(IF((SUMIFS('10. Activity Data Log'!$U$7:$U$46,'10. Activity Data Log'!$C$7:$C$46,$D73,'10. Activity Data Log'!$AD$7:$AD$46,"Q5")+SUMIFS('11. Distribution Log'!$W$7:$W$46,'11. Distribution Log'!$C$7:$C$46,$D73,'11. Distribution Log'!$AI$7:$AI$46,"Q5"))=0,"",SUMIFS('10. Activity Data Log'!$U$7:$U$46,'10. Activity Data Log'!$C$7:$C$46,$D73,'10. Activity Data Log'!$AD$7:$AD$46,"Q5")+SUMIFS('11. Distribution Log'!$W$7:$W$46,'11. Distribution Log'!$C$7:$C$46,$D73,'11. Distribution Log'!$AI$7:$AI$46,"Q5")),"")</f>
        <v/>
      </c>
      <c r="AA73" s="72" t="str">
        <f aca="false">IFERROR(IF((SUMIFS('10. Activity Data Log'!$U$7:$U$46,'10. Activity Data Log'!$C$7:$C$46,$D73,'10. Activity Data Log'!$AD$7:$AD$46,"Q6")+SUMIFS('11. Distribution Log'!$W$7:$W$46,'11. Distribution Log'!$C$7:$C$46,$D73,'11. Distribution Log'!$AI$7:$AI$46,"Q6"))=0,"",SUMIFS('10. Activity Data Log'!$U$7:$U$46,'10. Activity Data Log'!$C$7:$C$46,$D73,'10. Activity Data Log'!$AD$7:$AD$46,"Q6")+SUMIFS('11. Distribution Log'!$W$7:$W$46,'11. Distribution Log'!$C$7:$C$46,$D73,'11. Distribution Log'!$AI$7:$AI$46,"Q6")),"")</f>
        <v/>
      </c>
      <c r="AB73" s="72" t="str">
        <f aca="false">IFERROR(IF((SUMIFS('10. Activity Data Log'!$U$7:$U$46,'10. Activity Data Log'!$C$7:$C$46,$D73,'10. Activity Data Log'!$AD$7:$AD$46,"Q7")+SUMIFS('11. Distribution Log'!$W$7:$W$46,'11. Distribution Log'!$C$7:$C$46,$D73,'11. Distribution Log'!$AI$7:$AI$46,"Q7"))=0,"",SUMIFS('10. Activity Data Log'!$U$7:$U$46,'10. Activity Data Log'!$C$7:$C$46,$D73,'10. Activity Data Log'!$AD$7:$AD$46,"Q7")+SUMIFS('11. Distribution Log'!$W$7:$W$46,'11. Distribution Log'!$C$7:$C$46,$D73,'11. Distribution Log'!$AI$7:$AI$46,"Q7")),"")</f>
        <v/>
      </c>
      <c r="AC73" s="72" t="str">
        <f aca="false">IFERROR(IF((SUMIFS('10. Activity Data Log'!$U$7:$U$46,'10. Activity Data Log'!$C$7:$C$46,$D73,'10. Activity Data Log'!$AD$7:$AD$46,"Q8")+SUMIFS('11. Distribution Log'!$W$7:$W$46,'11. Distribution Log'!$C$7:$C$46,$D73,'11. Distribution Log'!$AI$7:$AI$46,"Q8"))=0,"",SUMIFS('10. Activity Data Log'!$U$7:$U$46,'10. Activity Data Log'!$C$7:$C$46,$D73,'10. Activity Data Log'!$AD$7:$AD$46,"Q8")+SUMIFS('11. Distribution Log'!$W$7:$W$46,'11. Distribution Log'!$C$7:$C$46,$D73,'11. Distribution Log'!$AI$7:$AI$46,"Q8")),"")</f>
        <v/>
      </c>
      <c r="AD73" s="68" t="str">
        <f aca="false">IFERROR(IF(SUMPRODUCT((COLUMN(N73:U73)-COLUMN(N73)+1&lt;='7. IPTT'!$C$3)*N(N73:U73))=0,"",SUMPRODUCT((COLUMN(V73:AC73)-COLUMN(V73)+1&lt;='7. IPTT'!$C$3)*N(V73:AC73))/SUMPRODUCT((COLUMN(N73:U73)-COLUMN(N73)+1&lt;='7. IPTT'!$C$3)*N(N73:U73))),"")</f>
        <v/>
      </c>
      <c r="AE73" s="22" t="str">
        <f aca="false">IFERROR(IF(AD73="","No data yet",IF(AD73&gt;=0.9,"On Track",IF(AD73&gt;=0.7,"Slightly Behind","Behind"))),"")</f>
        <v>No data yet</v>
      </c>
      <c r="AF73" s="16" t="s">
        <v>1388</v>
      </c>
      <c r="AG73" s="16" t="s">
        <v>1389</v>
      </c>
      <c r="AH73" s="73" t="n">
        <v>174890.55</v>
      </c>
      <c r="AI73" s="74" t="n">
        <v>25009348.65</v>
      </c>
      <c r="AJ73" s="16" t="str">
        <f aca="false">IFERROR(IF(COUNTIF('10. Activity Data Log'!$C$7:$C$46,$D73)=0,"No Data Log entries yet",COUNTIF('10. Activity Data Log'!$C$7:$C$46,$D73)&amp;" entries logged, avg "&amp;TEXT(AVERAGEIF('10. Activity Data Log'!$C$7:$C$46,$D73,'10. Activity Data Log'!$AB$7:$AB$46),"0%")&amp;" of target"),"")</f>
        <v>No Data Log entries yet</v>
      </c>
      <c r="AK73" s="16" t="str">
        <f aca="false">IFERROR(IF(OR(J73="",J73="-"),"During [reporting period], FIVDB delivered: "&amp;E73&amp;" (target: "&amp;I73&amp;"). Source: "&amp;AM73&amp;".","During [reporting period], FIVDB delivered: "&amp;E73&amp;" (target: "&amp;I73&amp;"), contributing to indicator '"&amp;IFERROR(INDEX('7. IPTT'!$F$15:$F$37,MATCH(IF(ISNUMBER(FIND(",",J73)),TRIM(LEFT(J73,FIND(",",J73)-1)),TRIM(J73)),'7. IPTT'!$C$15:$C$37,0)),"")&amp;"' ("&amp;J73&amp;"). Source: "&amp;AM73&amp;"."),"During [reporting period], FIVDB delivered: "&amp;E73&amp;".")</f>
        <v>During [reporting period], FIVDB delivered: Recruit and onboard FIVDB Education and Child Protection staff (Education Officer, Education Assistant, Technical Coordinator–Protection, case workers, facilitators). (target: Full staffing complement in place). Source: Annex 18 Workplan, Row 149 (Staff Recruitment and posting in place).</v>
      </c>
      <c r="AL73" s="16" t="s">
        <v>1390</v>
      </c>
      <c r="AM73" s="16" t="s">
        <v>1391</v>
      </c>
      <c r="AN73" s="22" t="s">
        <v>658</v>
      </c>
      <c r="AO73" s="16" t="s">
        <v>1392</v>
      </c>
    </row>
    <row r="74" customFormat="false" ht="99" hidden="false" customHeight="true" outlineLevel="0" collapsed="false">
      <c r="B74" s="22" t="s">
        <v>1381</v>
      </c>
      <c r="C74" s="22" t="s">
        <v>1382</v>
      </c>
      <c r="D74" s="22" t="s">
        <v>1393</v>
      </c>
      <c r="E74" s="16" t="s">
        <v>1394</v>
      </c>
      <c r="F74" s="16"/>
      <c r="G74" s="16" t="s">
        <v>1369</v>
      </c>
      <c r="H74" s="16" t="s">
        <v>1103</v>
      </c>
      <c r="I74" s="16" t="s">
        <v>1395</v>
      </c>
      <c r="J74" s="22" t="s">
        <v>543</v>
      </c>
      <c r="K74" s="16" t="s">
        <v>1245</v>
      </c>
      <c r="L74" s="22" t="n">
        <v>7</v>
      </c>
      <c r="M74" s="22" t="s">
        <v>1396</v>
      </c>
      <c r="N74" s="49"/>
      <c r="O74" s="49"/>
      <c r="P74" s="49"/>
      <c r="Q74" s="49"/>
      <c r="R74" s="49"/>
      <c r="S74" s="49"/>
      <c r="T74" s="49"/>
      <c r="U74" s="49"/>
      <c r="V74" s="72" t="str">
        <f aca="false">IFERROR(IF((SUMIFS('10. Activity Data Log'!$U$7:$U$46,'10. Activity Data Log'!$C$7:$C$46,$D74,'10. Activity Data Log'!$AD$7:$AD$46,"Q1")+SUMIFS('11. Distribution Log'!$W$7:$W$46,'11. Distribution Log'!$C$7:$C$46,$D74,'11. Distribution Log'!$AI$7:$AI$46,"Q1"))=0,"",SUMIFS('10. Activity Data Log'!$U$7:$U$46,'10. Activity Data Log'!$C$7:$C$46,$D74,'10. Activity Data Log'!$AD$7:$AD$46,"Q1")+SUMIFS('11. Distribution Log'!$W$7:$W$46,'11. Distribution Log'!$C$7:$C$46,$D74,'11. Distribution Log'!$AI$7:$AI$46,"Q1")),"")</f>
        <v/>
      </c>
      <c r="W74" s="72" t="str">
        <f aca="false">IFERROR(IF((SUMIFS('10. Activity Data Log'!$U$7:$U$46,'10. Activity Data Log'!$C$7:$C$46,$D74,'10. Activity Data Log'!$AD$7:$AD$46,"Q2")+SUMIFS('11. Distribution Log'!$W$7:$W$46,'11. Distribution Log'!$C$7:$C$46,$D74,'11. Distribution Log'!$AI$7:$AI$46,"Q2"))=0,"",SUMIFS('10. Activity Data Log'!$U$7:$U$46,'10. Activity Data Log'!$C$7:$C$46,$D74,'10. Activity Data Log'!$AD$7:$AD$46,"Q2")+SUMIFS('11. Distribution Log'!$W$7:$W$46,'11. Distribution Log'!$C$7:$C$46,$D74,'11. Distribution Log'!$AI$7:$AI$46,"Q2")),"")</f>
        <v/>
      </c>
      <c r="X74" s="72" t="str">
        <f aca="false">IFERROR(IF((SUMIFS('10. Activity Data Log'!$U$7:$U$46,'10. Activity Data Log'!$C$7:$C$46,$D74,'10. Activity Data Log'!$AD$7:$AD$46,"Q3")+SUMIFS('11. Distribution Log'!$W$7:$W$46,'11. Distribution Log'!$C$7:$C$46,$D74,'11. Distribution Log'!$AI$7:$AI$46,"Q3"))=0,"",SUMIFS('10. Activity Data Log'!$U$7:$U$46,'10. Activity Data Log'!$C$7:$C$46,$D74,'10. Activity Data Log'!$AD$7:$AD$46,"Q3")+SUMIFS('11. Distribution Log'!$W$7:$W$46,'11. Distribution Log'!$C$7:$C$46,$D74,'11. Distribution Log'!$AI$7:$AI$46,"Q3")),"")</f>
        <v/>
      </c>
      <c r="Y74" s="72" t="str">
        <f aca="false">IFERROR(IF((SUMIFS('10. Activity Data Log'!$U$7:$U$46,'10. Activity Data Log'!$C$7:$C$46,$D74,'10. Activity Data Log'!$AD$7:$AD$46,"Q4")+SUMIFS('11. Distribution Log'!$W$7:$W$46,'11. Distribution Log'!$C$7:$C$46,$D74,'11. Distribution Log'!$AI$7:$AI$46,"Q4"))=0,"",SUMIFS('10. Activity Data Log'!$U$7:$U$46,'10. Activity Data Log'!$C$7:$C$46,$D74,'10. Activity Data Log'!$AD$7:$AD$46,"Q4")+SUMIFS('11. Distribution Log'!$W$7:$W$46,'11. Distribution Log'!$C$7:$C$46,$D74,'11. Distribution Log'!$AI$7:$AI$46,"Q4")),"")</f>
        <v/>
      </c>
      <c r="Z74" s="72" t="str">
        <f aca="false">IFERROR(IF((SUMIFS('10. Activity Data Log'!$U$7:$U$46,'10. Activity Data Log'!$C$7:$C$46,$D74,'10. Activity Data Log'!$AD$7:$AD$46,"Q5")+SUMIFS('11. Distribution Log'!$W$7:$W$46,'11. Distribution Log'!$C$7:$C$46,$D74,'11. Distribution Log'!$AI$7:$AI$46,"Q5"))=0,"",SUMIFS('10. Activity Data Log'!$U$7:$U$46,'10. Activity Data Log'!$C$7:$C$46,$D74,'10. Activity Data Log'!$AD$7:$AD$46,"Q5")+SUMIFS('11. Distribution Log'!$W$7:$W$46,'11. Distribution Log'!$C$7:$C$46,$D74,'11. Distribution Log'!$AI$7:$AI$46,"Q5")),"")</f>
        <v/>
      </c>
      <c r="AA74" s="72" t="str">
        <f aca="false">IFERROR(IF((SUMIFS('10. Activity Data Log'!$U$7:$U$46,'10. Activity Data Log'!$C$7:$C$46,$D74,'10. Activity Data Log'!$AD$7:$AD$46,"Q6")+SUMIFS('11. Distribution Log'!$W$7:$W$46,'11. Distribution Log'!$C$7:$C$46,$D74,'11. Distribution Log'!$AI$7:$AI$46,"Q6"))=0,"",SUMIFS('10. Activity Data Log'!$U$7:$U$46,'10. Activity Data Log'!$C$7:$C$46,$D74,'10. Activity Data Log'!$AD$7:$AD$46,"Q6")+SUMIFS('11. Distribution Log'!$W$7:$W$46,'11. Distribution Log'!$C$7:$C$46,$D74,'11. Distribution Log'!$AI$7:$AI$46,"Q6")),"")</f>
        <v/>
      </c>
      <c r="AB74" s="72" t="str">
        <f aca="false">IFERROR(IF((SUMIFS('10. Activity Data Log'!$U$7:$U$46,'10. Activity Data Log'!$C$7:$C$46,$D74,'10. Activity Data Log'!$AD$7:$AD$46,"Q7")+SUMIFS('11. Distribution Log'!$W$7:$W$46,'11. Distribution Log'!$C$7:$C$46,$D74,'11. Distribution Log'!$AI$7:$AI$46,"Q7"))=0,"",SUMIFS('10. Activity Data Log'!$U$7:$U$46,'10. Activity Data Log'!$C$7:$C$46,$D74,'10. Activity Data Log'!$AD$7:$AD$46,"Q7")+SUMIFS('11. Distribution Log'!$W$7:$W$46,'11. Distribution Log'!$C$7:$C$46,$D74,'11. Distribution Log'!$AI$7:$AI$46,"Q7")),"")</f>
        <v/>
      </c>
      <c r="AC74" s="72" t="str">
        <f aca="false">IFERROR(IF((SUMIFS('10. Activity Data Log'!$U$7:$U$46,'10. Activity Data Log'!$C$7:$C$46,$D74,'10. Activity Data Log'!$AD$7:$AD$46,"Q8")+SUMIFS('11. Distribution Log'!$W$7:$W$46,'11. Distribution Log'!$C$7:$C$46,$D74,'11. Distribution Log'!$AI$7:$AI$46,"Q8"))=0,"",SUMIFS('10. Activity Data Log'!$U$7:$U$46,'10. Activity Data Log'!$C$7:$C$46,$D74,'10. Activity Data Log'!$AD$7:$AD$46,"Q8")+SUMIFS('11. Distribution Log'!$W$7:$W$46,'11. Distribution Log'!$C$7:$C$46,$D74,'11. Distribution Log'!$AI$7:$AI$46,"Q8")),"")</f>
        <v/>
      </c>
      <c r="AD74" s="68" t="str">
        <f aca="false">IFERROR(IF(SUMPRODUCT((COLUMN(N74:U74)-COLUMN(N74)+1&lt;='7. IPTT'!$C$3)*N(N74:U74))=0,"",SUMPRODUCT((COLUMN(V74:AC74)-COLUMN(V74)+1&lt;='7. IPTT'!$C$3)*N(V74:AC74))/SUMPRODUCT((COLUMN(N74:U74)-COLUMN(N74)+1&lt;='7. IPTT'!$C$3)*N(N74:U74))),"")</f>
        <v/>
      </c>
      <c r="AE74" s="22" t="str">
        <f aca="false">IFERROR(IF(AD74="","No data yet",IF(AD74&gt;=0.9,"On Track",IF(AD74&gt;=0.7,"Slightly Behind","Behind"))),"")</f>
        <v>No data yet</v>
      </c>
      <c r="AF74" s="16" t="s">
        <v>1397</v>
      </c>
      <c r="AG74" s="16" t="s">
        <v>1389</v>
      </c>
      <c r="AH74" s="73" t="n">
        <v>174890.55</v>
      </c>
      <c r="AI74" s="74" t="n">
        <v>25009348.65</v>
      </c>
      <c r="AJ74" s="16" t="str">
        <f aca="false">IFERROR(IF(COUNTIF('10. Activity Data Log'!$C$7:$C$46,$D74)=0,"No Data Log entries yet",COUNTIF('10. Activity Data Log'!$C$7:$C$46,$D74)&amp;" entries logged, avg "&amp;TEXT(AVERAGEIF('10. Activity Data Log'!$C$7:$C$46,$D74,'10. Activity Data Log'!$AB$7:$AB$46),"0%")&amp;" of target"),"")</f>
        <v>No Data Log entries yet</v>
      </c>
      <c r="AK74" s="16" t="str">
        <f aca="false">IFERROR(IF(OR(J74="",J74="-"),"During [reporting period], FIVDB delivered: "&amp;E74&amp;" (target: "&amp;I74&amp;"). Source: "&amp;AM74&amp;".","During [reporting period], FIVDB delivered: "&amp;E74&amp;" (target: "&amp;I74&amp;"), contributing to indicator '"&amp;IFERROR(INDEX('7. IPTT'!$F$15:$F$37,MATCH(IF(ISNUMBER(FIND(",",J74)),TRIM(LEFT(J74,FIND(",",J74)-1)),TRIM(J74)),'7. IPTT'!$C$15:$C$37,0)),"")&amp;"' ("&amp;J74&amp;"). Source: "&amp;AM74&amp;"."),"During [reporting period], FIVDB delivered: "&amp;E74&amp;".")</f>
        <v>During [reporting period], FIVDB delivered: Coordinate FD7 government approval process with SC/PIB for FIVDB's operational camps. (target: FD7 approval secured). Source: Annex 18 Workplan, Row 14 (FD7 approval).</v>
      </c>
      <c r="AL74" s="16" t="s">
        <v>1398</v>
      </c>
      <c r="AM74" s="16" t="s">
        <v>1399</v>
      </c>
      <c r="AN74" s="22" t="s">
        <v>658</v>
      </c>
      <c r="AO74" s="16" t="s">
        <v>1400</v>
      </c>
    </row>
    <row r="75" customFormat="false" ht="99" hidden="false" customHeight="true" outlineLevel="0" collapsed="false">
      <c r="B75" s="22" t="s">
        <v>1381</v>
      </c>
      <c r="C75" s="22" t="s">
        <v>1382</v>
      </c>
      <c r="D75" s="22" t="s">
        <v>1401</v>
      </c>
      <c r="E75" s="16" t="s">
        <v>1402</v>
      </c>
      <c r="F75" s="16"/>
      <c r="G75" s="16" t="s">
        <v>1243</v>
      </c>
      <c r="H75" s="16" t="s">
        <v>1403</v>
      </c>
      <c r="I75" s="16" t="s">
        <v>1404</v>
      </c>
      <c r="J75" s="22" t="s">
        <v>543</v>
      </c>
      <c r="K75" s="16" t="s">
        <v>1245</v>
      </c>
      <c r="L75" s="22" t="s">
        <v>1106</v>
      </c>
      <c r="M75" s="22" t="s">
        <v>1405</v>
      </c>
      <c r="N75" s="49"/>
      <c r="O75" s="49"/>
      <c r="P75" s="49"/>
      <c r="Q75" s="49"/>
      <c r="R75" s="49"/>
      <c r="S75" s="49"/>
      <c r="T75" s="49"/>
      <c r="U75" s="49"/>
      <c r="V75" s="72" t="str">
        <f aca="false">IFERROR(IF((SUMIFS('10. Activity Data Log'!$U$7:$U$46,'10. Activity Data Log'!$C$7:$C$46,$D75,'10. Activity Data Log'!$AD$7:$AD$46,"Q1")+SUMIFS('11. Distribution Log'!$W$7:$W$46,'11. Distribution Log'!$C$7:$C$46,$D75,'11. Distribution Log'!$AI$7:$AI$46,"Q1"))=0,"",SUMIFS('10. Activity Data Log'!$U$7:$U$46,'10. Activity Data Log'!$C$7:$C$46,$D75,'10. Activity Data Log'!$AD$7:$AD$46,"Q1")+SUMIFS('11. Distribution Log'!$W$7:$W$46,'11. Distribution Log'!$C$7:$C$46,$D75,'11. Distribution Log'!$AI$7:$AI$46,"Q1")),"")</f>
        <v/>
      </c>
      <c r="W75" s="72" t="str">
        <f aca="false">IFERROR(IF((SUMIFS('10. Activity Data Log'!$U$7:$U$46,'10. Activity Data Log'!$C$7:$C$46,$D75,'10. Activity Data Log'!$AD$7:$AD$46,"Q2")+SUMIFS('11. Distribution Log'!$W$7:$W$46,'11. Distribution Log'!$C$7:$C$46,$D75,'11. Distribution Log'!$AI$7:$AI$46,"Q2"))=0,"",SUMIFS('10. Activity Data Log'!$U$7:$U$46,'10. Activity Data Log'!$C$7:$C$46,$D75,'10. Activity Data Log'!$AD$7:$AD$46,"Q2")+SUMIFS('11. Distribution Log'!$W$7:$W$46,'11. Distribution Log'!$C$7:$C$46,$D75,'11. Distribution Log'!$AI$7:$AI$46,"Q2")),"")</f>
        <v/>
      </c>
      <c r="X75" s="72" t="str">
        <f aca="false">IFERROR(IF((SUMIFS('10. Activity Data Log'!$U$7:$U$46,'10. Activity Data Log'!$C$7:$C$46,$D75,'10. Activity Data Log'!$AD$7:$AD$46,"Q3")+SUMIFS('11. Distribution Log'!$W$7:$W$46,'11. Distribution Log'!$C$7:$C$46,$D75,'11. Distribution Log'!$AI$7:$AI$46,"Q3"))=0,"",SUMIFS('10. Activity Data Log'!$U$7:$U$46,'10. Activity Data Log'!$C$7:$C$46,$D75,'10. Activity Data Log'!$AD$7:$AD$46,"Q3")+SUMIFS('11. Distribution Log'!$W$7:$W$46,'11. Distribution Log'!$C$7:$C$46,$D75,'11. Distribution Log'!$AI$7:$AI$46,"Q3")),"")</f>
        <v/>
      </c>
      <c r="Y75" s="72" t="str">
        <f aca="false">IFERROR(IF((SUMIFS('10. Activity Data Log'!$U$7:$U$46,'10. Activity Data Log'!$C$7:$C$46,$D75,'10. Activity Data Log'!$AD$7:$AD$46,"Q4")+SUMIFS('11. Distribution Log'!$W$7:$W$46,'11. Distribution Log'!$C$7:$C$46,$D75,'11. Distribution Log'!$AI$7:$AI$46,"Q4"))=0,"",SUMIFS('10. Activity Data Log'!$U$7:$U$46,'10. Activity Data Log'!$C$7:$C$46,$D75,'10. Activity Data Log'!$AD$7:$AD$46,"Q4")+SUMIFS('11. Distribution Log'!$W$7:$W$46,'11. Distribution Log'!$C$7:$C$46,$D75,'11. Distribution Log'!$AI$7:$AI$46,"Q4")),"")</f>
        <v/>
      </c>
      <c r="Z75" s="72" t="str">
        <f aca="false">IFERROR(IF((SUMIFS('10. Activity Data Log'!$U$7:$U$46,'10. Activity Data Log'!$C$7:$C$46,$D75,'10. Activity Data Log'!$AD$7:$AD$46,"Q5")+SUMIFS('11. Distribution Log'!$W$7:$W$46,'11. Distribution Log'!$C$7:$C$46,$D75,'11. Distribution Log'!$AI$7:$AI$46,"Q5"))=0,"",SUMIFS('10. Activity Data Log'!$U$7:$U$46,'10. Activity Data Log'!$C$7:$C$46,$D75,'10. Activity Data Log'!$AD$7:$AD$46,"Q5")+SUMIFS('11. Distribution Log'!$W$7:$W$46,'11. Distribution Log'!$C$7:$C$46,$D75,'11. Distribution Log'!$AI$7:$AI$46,"Q5")),"")</f>
        <v/>
      </c>
      <c r="AA75" s="72" t="str">
        <f aca="false">IFERROR(IF((SUMIFS('10. Activity Data Log'!$U$7:$U$46,'10. Activity Data Log'!$C$7:$C$46,$D75,'10. Activity Data Log'!$AD$7:$AD$46,"Q6")+SUMIFS('11. Distribution Log'!$W$7:$W$46,'11. Distribution Log'!$C$7:$C$46,$D75,'11. Distribution Log'!$AI$7:$AI$46,"Q6"))=0,"",SUMIFS('10. Activity Data Log'!$U$7:$U$46,'10. Activity Data Log'!$C$7:$C$46,$D75,'10. Activity Data Log'!$AD$7:$AD$46,"Q6")+SUMIFS('11. Distribution Log'!$W$7:$W$46,'11. Distribution Log'!$C$7:$C$46,$D75,'11. Distribution Log'!$AI$7:$AI$46,"Q6")),"")</f>
        <v/>
      </c>
      <c r="AB75" s="72" t="str">
        <f aca="false">IFERROR(IF((SUMIFS('10. Activity Data Log'!$U$7:$U$46,'10. Activity Data Log'!$C$7:$C$46,$D75,'10. Activity Data Log'!$AD$7:$AD$46,"Q7")+SUMIFS('11. Distribution Log'!$W$7:$W$46,'11. Distribution Log'!$C$7:$C$46,$D75,'11. Distribution Log'!$AI$7:$AI$46,"Q7"))=0,"",SUMIFS('10. Activity Data Log'!$U$7:$U$46,'10. Activity Data Log'!$C$7:$C$46,$D75,'10. Activity Data Log'!$AD$7:$AD$46,"Q7")+SUMIFS('11. Distribution Log'!$W$7:$W$46,'11. Distribution Log'!$C$7:$C$46,$D75,'11. Distribution Log'!$AI$7:$AI$46,"Q7")),"")</f>
        <v/>
      </c>
      <c r="AC75" s="72" t="str">
        <f aca="false">IFERROR(IF((SUMIFS('10. Activity Data Log'!$U$7:$U$46,'10. Activity Data Log'!$C$7:$C$46,$D75,'10. Activity Data Log'!$AD$7:$AD$46,"Q8")+SUMIFS('11. Distribution Log'!$W$7:$W$46,'11. Distribution Log'!$C$7:$C$46,$D75,'11. Distribution Log'!$AI$7:$AI$46,"Q8"))=0,"",SUMIFS('10. Activity Data Log'!$U$7:$U$46,'10. Activity Data Log'!$C$7:$C$46,$D75,'10. Activity Data Log'!$AD$7:$AD$46,"Q8")+SUMIFS('11. Distribution Log'!$W$7:$W$46,'11. Distribution Log'!$C$7:$C$46,$D75,'11. Distribution Log'!$AI$7:$AI$46,"Q8")),"")</f>
        <v/>
      </c>
      <c r="AD75" s="68" t="str">
        <f aca="false">IFERROR(IF(SUMPRODUCT((COLUMN(N75:U75)-COLUMN(N75)+1&lt;='7. IPTT'!$C$3)*N(N75:U75))=0,"",SUMPRODUCT((COLUMN(V75:AC75)-COLUMN(V75)+1&lt;='7. IPTT'!$C$3)*N(V75:AC75))/SUMPRODUCT((COLUMN(N75:U75)-COLUMN(N75)+1&lt;='7. IPTT'!$C$3)*N(N75:U75))),"")</f>
        <v/>
      </c>
      <c r="AE75" s="22" t="str">
        <f aca="false">IFERROR(IF(AD75="","No data yet",IF(AD75&gt;=0.9,"On Track",IF(AD75&gt;=0.7,"Slightly Behind","Behind"))),"")</f>
        <v>No data yet</v>
      </c>
      <c r="AF75" s="16" t="s">
        <v>1406</v>
      </c>
      <c r="AG75" s="16" t="s">
        <v>1389</v>
      </c>
      <c r="AH75" s="73" t="n">
        <v>174890.55</v>
      </c>
      <c r="AI75" s="74" t="n">
        <v>25009348.65</v>
      </c>
      <c r="AJ75" s="16" t="str">
        <f aca="false">IFERROR(IF(COUNTIF('10. Activity Data Log'!$C$7:$C$46,$D75)=0,"No Data Log entries yet",COUNTIF('10. Activity Data Log'!$C$7:$C$46,$D75)&amp;" entries logged, avg "&amp;TEXT(AVERAGEIF('10. Activity Data Log'!$C$7:$C$46,$D75,'10. Activity Data Log'!$AB$7:$AB$46),"0%")&amp;" of target"),"")</f>
        <v>No Data Log entries yet</v>
      </c>
      <c r="AK75" s="16" t="str">
        <f aca="false">IFERROR(IF(OR(J75="",J75="-"),"During [reporting period], FIVDB delivered: "&amp;E75&amp;" (target: "&amp;I75&amp;"). Source: "&amp;AM75&amp;".","During [reporting period], FIVDB delivered: "&amp;E75&amp;" (target: "&amp;I75&amp;"), contributing to indicator '"&amp;IFERROR(INDEX('7. IPTT'!$F$15:$F$37,MATCH(IF(ISNUMBER(FIND(",",J75)),TRIM(LEFT(J75,FIND(",",J75)-1)),TRIM(J75)),'7. IPTT'!$C$15:$C$37,0)),"")&amp;"' ("&amp;J75&amp;"). Source: "&amp;AM75&amp;"."),"During [reporting period], FIVDB delivered: "&amp;E75&amp;".")</f>
        <v>During [reporting period], FIVDB delivered: Participate in project kick-off meeting and partnership review meetings (CP, Education) with PIB and SC. (target: Kick-off + quarterly partnership review). Source: Annex 18 Workplan, Rows 15-17 (Kick off meeting with member; Project kick off meeting with partners; Partnership review meeting).</v>
      </c>
      <c r="AL75" s="16" t="s">
        <v>1407</v>
      </c>
      <c r="AM75" s="16" t="s">
        <v>1408</v>
      </c>
      <c r="AN75" s="22" t="s">
        <v>658</v>
      </c>
      <c r="AO75" s="16" t="s">
        <v>1409</v>
      </c>
    </row>
    <row r="76" customFormat="false" ht="99" hidden="false" customHeight="true" outlineLevel="0" collapsed="false">
      <c r="B76" s="22" t="s">
        <v>1381</v>
      </c>
      <c r="C76" s="22" t="s">
        <v>1382</v>
      </c>
      <c r="D76" s="22" t="s">
        <v>1410</v>
      </c>
      <c r="E76" s="16" t="s">
        <v>1411</v>
      </c>
      <c r="F76" s="16"/>
      <c r="G76" s="16" t="s">
        <v>1112</v>
      </c>
      <c r="H76" s="16" t="s">
        <v>1103</v>
      </c>
      <c r="I76" s="16" t="s">
        <v>1412</v>
      </c>
      <c r="J76" s="22" t="s">
        <v>543</v>
      </c>
      <c r="K76" s="16" t="s">
        <v>1245</v>
      </c>
      <c r="L76" s="22" t="s">
        <v>1106</v>
      </c>
      <c r="M76" s="22" t="s">
        <v>1413</v>
      </c>
      <c r="N76" s="49"/>
      <c r="O76" s="49"/>
      <c r="P76" s="49"/>
      <c r="Q76" s="49"/>
      <c r="R76" s="49"/>
      <c r="S76" s="49"/>
      <c r="T76" s="49"/>
      <c r="U76" s="49"/>
      <c r="V76" s="72" t="str">
        <f aca="false">IFERROR(IF((SUMIFS('10. Activity Data Log'!$U$7:$U$46,'10. Activity Data Log'!$C$7:$C$46,$D76,'10. Activity Data Log'!$AD$7:$AD$46,"Q1")+SUMIFS('11. Distribution Log'!$W$7:$W$46,'11. Distribution Log'!$C$7:$C$46,$D76,'11. Distribution Log'!$AI$7:$AI$46,"Q1"))=0,"",SUMIFS('10. Activity Data Log'!$U$7:$U$46,'10. Activity Data Log'!$C$7:$C$46,$D76,'10. Activity Data Log'!$AD$7:$AD$46,"Q1")+SUMIFS('11. Distribution Log'!$W$7:$W$46,'11. Distribution Log'!$C$7:$C$46,$D76,'11. Distribution Log'!$AI$7:$AI$46,"Q1")),"")</f>
        <v/>
      </c>
      <c r="W76" s="72" t="str">
        <f aca="false">IFERROR(IF((SUMIFS('10. Activity Data Log'!$U$7:$U$46,'10. Activity Data Log'!$C$7:$C$46,$D76,'10. Activity Data Log'!$AD$7:$AD$46,"Q2")+SUMIFS('11. Distribution Log'!$W$7:$W$46,'11. Distribution Log'!$C$7:$C$46,$D76,'11. Distribution Log'!$AI$7:$AI$46,"Q2"))=0,"",SUMIFS('10. Activity Data Log'!$U$7:$U$46,'10. Activity Data Log'!$C$7:$C$46,$D76,'10. Activity Data Log'!$AD$7:$AD$46,"Q2")+SUMIFS('11. Distribution Log'!$W$7:$W$46,'11. Distribution Log'!$C$7:$C$46,$D76,'11. Distribution Log'!$AI$7:$AI$46,"Q2")),"")</f>
        <v/>
      </c>
      <c r="X76" s="72" t="str">
        <f aca="false">IFERROR(IF((SUMIFS('10. Activity Data Log'!$U$7:$U$46,'10. Activity Data Log'!$C$7:$C$46,$D76,'10. Activity Data Log'!$AD$7:$AD$46,"Q3")+SUMIFS('11. Distribution Log'!$W$7:$W$46,'11. Distribution Log'!$C$7:$C$46,$D76,'11. Distribution Log'!$AI$7:$AI$46,"Q3"))=0,"",SUMIFS('10. Activity Data Log'!$U$7:$U$46,'10. Activity Data Log'!$C$7:$C$46,$D76,'10. Activity Data Log'!$AD$7:$AD$46,"Q3")+SUMIFS('11. Distribution Log'!$W$7:$W$46,'11. Distribution Log'!$C$7:$C$46,$D76,'11. Distribution Log'!$AI$7:$AI$46,"Q3")),"")</f>
        <v/>
      </c>
      <c r="Y76" s="72" t="str">
        <f aca="false">IFERROR(IF((SUMIFS('10. Activity Data Log'!$U$7:$U$46,'10. Activity Data Log'!$C$7:$C$46,$D76,'10. Activity Data Log'!$AD$7:$AD$46,"Q4")+SUMIFS('11. Distribution Log'!$W$7:$W$46,'11. Distribution Log'!$C$7:$C$46,$D76,'11. Distribution Log'!$AI$7:$AI$46,"Q4"))=0,"",SUMIFS('10. Activity Data Log'!$U$7:$U$46,'10. Activity Data Log'!$C$7:$C$46,$D76,'10. Activity Data Log'!$AD$7:$AD$46,"Q4")+SUMIFS('11. Distribution Log'!$W$7:$W$46,'11. Distribution Log'!$C$7:$C$46,$D76,'11. Distribution Log'!$AI$7:$AI$46,"Q4")),"")</f>
        <v/>
      </c>
      <c r="Z76" s="72" t="str">
        <f aca="false">IFERROR(IF((SUMIFS('10. Activity Data Log'!$U$7:$U$46,'10. Activity Data Log'!$C$7:$C$46,$D76,'10. Activity Data Log'!$AD$7:$AD$46,"Q5")+SUMIFS('11. Distribution Log'!$W$7:$W$46,'11. Distribution Log'!$C$7:$C$46,$D76,'11. Distribution Log'!$AI$7:$AI$46,"Q5"))=0,"",SUMIFS('10. Activity Data Log'!$U$7:$U$46,'10. Activity Data Log'!$C$7:$C$46,$D76,'10. Activity Data Log'!$AD$7:$AD$46,"Q5")+SUMIFS('11. Distribution Log'!$W$7:$W$46,'11. Distribution Log'!$C$7:$C$46,$D76,'11. Distribution Log'!$AI$7:$AI$46,"Q5")),"")</f>
        <v/>
      </c>
      <c r="AA76" s="72" t="str">
        <f aca="false">IFERROR(IF((SUMIFS('10. Activity Data Log'!$U$7:$U$46,'10. Activity Data Log'!$C$7:$C$46,$D76,'10. Activity Data Log'!$AD$7:$AD$46,"Q6")+SUMIFS('11. Distribution Log'!$W$7:$W$46,'11. Distribution Log'!$C$7:$C$46,$D76,'11. Distribution Log'!$AI$7:$AI$46,"Q6"))=0,"",SUMIFS('10. Activity Data Log'!$U$7:$U$46,'10. Activity Data Log'!$C$7:$C$46,$D76,'10. Activity Data Log'!$AD$7:$AD$46,"Q6")+SUMIFS('11. Distribution Log'!$W$7:$W$46,'11. Distribution Log'!$C$7:$C$46,$D76,'11. Distribution Log'!$AI$7:$AI$46,"Q6")),"")</f>
        <v/>
      </c>
      <c r="AB76" s="72" t="str">
        <f aca="false">IFERROR(IF((SUMIFS('10. Activity Data Log'!$U$7:$U$46,'10. Activity Data Log'!$C$7:$C$46,$D76,'10. Activity Data Log'!$AD$7:$AD$46,"Q7")+SUMIFS('11. Distribution Log'!$W$7:$W$46,'11. Distribution Log'!$C$7:$C$46,$D76,'11. Distribution Log'!$AI$7:$AI$46,"Q7"))=0,"",SUMIFS('10. Activity Data Log'!$U$7:$U$46,'10. Activity Data Log'!$C$7:$C$46,$D76,'10. Activity Data Log'!$AD$7:$AD$46,"Q7")+SUMIFS('11. Distribution Log'!$W$7:$W$46,'11. Distribution Log'!$C$7:$C$46,$D76,'11. Distribution Log'!$AI$7:$AI$46,"Q7")),"")</f>
        <v/>
      </c>
      <c r="AC76" s="72" t="str">
        <f aca="false">IFERROR(IF((SUMIFS('10. Activity Data Log'!$U$7:$U$46,'10. Activity Data Log'!$C$7:$C$46,$D76,'10. Activity Data Log'!$AD$7:$AD$46,"Q8")+SUMIFS('11. Distribution Log'!$W$7:$W$46,'11. Distribution Log'!$C$7:$C$46,$D76,'11. Distribution Log'!$AI$7:$AI$46,"Q8"))=0,"",SUMIFS('10. Activity Data Log'!$U$7:$U$46,'10. Activity Data Log'!$C$7:$C$46,$D76,'10. Activity Data Log'!$AD$7:$AD$46,"Q8")+SUMIFS('11. Distribution Log'!$W$7:$W$46,'11. Distribution Log'!$C$7:$C$46,$D76,'11. Distribution Log'!$AI$7:$AI$46,"Q8")),"")</f>
        <v/>
      </c>
      <c r="AD76" s="68" t="str">
        <f aca="false">IFERROR(IF(SUMPRODUCT((COLUMN(N76:U76)-COLUMN(N76)+1&lt;='7. IPTT'!$C$3)*N(N76:U76))=0,"",SUMPRODUCT((COLUMN(V76:AC76)-COLUMN(V76)+1&lt;='7. IPTT'!$C$3)*N(V76:AC76))/SUMPRODUCT((COLUMN(N76:U76)-COLUMN(N76)+1&lt;='7. IPTT'!$C$3)*N(N76:U76))),"")</f>
        <v/>
      </c>
      <c r="AE76" s="22" t="str">
        <f aca="false">IFERROR(IF(AD76="","No data yet",IF(AD76&gt;=0.9,"On Track",IF(AD76&gt;=0.7,"Slightly Behind","Behind"))),"")</f>
        <v>No data yet</v>
      </c>
      <c r="AF76" s="16" t="s">
        <v>1414</v>
      </c>
      <c r="AG76" s="16" t="s">
        <v>1389</v>
      </c>
      <c r="AH76" s="73" t="n">
        <v>174890.55</v>
      </c>
      <c r="AI76" s="74" t="n">
        <v>25009348.65</v>
      </c>
      <c r="AJ76" s="16" t="str">
        <f aca="false">IFERROR(IF(COUNTIF('10. Activity Data Log'!$C$7:$C$46,$D76)=0,"No Data Log entries yet",COUNTIF('10. Activity Data Log'!$C$7:$C$46,$D76)&amp;" entries logged, avg "&amp;TEXT(AVERAGEIF('10. Activity Data Log'!$C$7:$C$46,$D76,'10. Activity Data Log'!$AB$7:$AB$46),"0%")&amp;" of target"),"")</f>
        <v>No Data Log entries yet</v>
      </c>
      <c r="AK76" s="16" t="str">
        <f aca="false">IFERROR(IF(OR(J76="",J76="-"),"During [reporting period], FIVDB delivered: "&amp;E76&amp;" (target: "&amp;I76&amp;"). Source: "&amp;AM76&amp;".","During [reporting period], FIVDB delivered: "&amp;E76&amp;" (target: "&amp;I76&amp;"), contributing to indicator '"&amp;IFERROR(INDEX('7. IPTT'!$F$15:$F$37,MATCH(IF(ISNUMBER(FIND(",",J76)),TRIM(LEFT(J76,FIND(",",J76)-1)),TRIM(J76)),'7. IPTT'!$C$15:$C$37,0)),"")&amp;"' ("&amp;J76&amp;"). Source: "&amp;AM76&amp;"."),"During [reporting period], FIVDB delivered: "&amp;E76&amp;".")</f>
        <v>During [reporting period], FIVDB delivered: Adopt/contextualise SOPs (case management, referral pathway, safeguarding, MEAL tools) jointly with PIB. (target: SOPs signed off). Source: Not an explicit Annex 18 row - added as standard CP/MEAL start-up practice (Row 18 covers Health/Nutrition SOPs only).</v>
      </c>
      <c r="AL76" s="16" t="s">
        <v>1415</v>
      </c>
      <c r="AM76" s="16" t="s">
        <v>1416</v>
      </c>
      <c r="AN76" s="22" t="s">
        <v>649</v>
      </c>
      <c r="AO76" s="16" t="s">
        <v>1417</v>
      </c>
    </row>
    <row r="77" customFormat="false" ht="99" hidden="false" customHeight="true" outlineLevel="0" collapsed="false">
      <c r="B77" s="22" t="s">
        <v>1381</v>
      </c>
      <c r="C77" s="22" t="s">
        <v>1382</v>
      </c>
      <c r="D77" s="22" t="s">
        <v>1418</v>
      </c>
      <c r="E77" s="16" t="s">
        <v>1419</v>
      </c>
      <c r="F77" s="16"/>
      <c r="G77" s="16" t="s">
        <v>1102</v>
      </c>
      <c r="H77" s="16" t="s">
        <v>1103</v>
      </c>
      <c r="I77" s="16" t="s">
        <v>1420</v>
      </c>
      <c r="J77" s="22" t="s">
        <v>1421</v>
      </c>
      <c r="K77" s="16" t="s">
        <v>1422</v>
      </c>
      <c r="L77" s="22" t="n">
        <v>51</v>
      </c>
      <c r="M77" s="22" t="s">
        <v>1423</v>
      </c>
      <c r="N77" s="49"/>
      <c r="O77" s="49"/>
      <c r="P77" s="49"/>
      <c r="Q77" s="49"/>
      <c r="R77" s="49"/>
      <c r="S77" s="49"/>
      <c r="T77" s="49"/>
      <c r="U77" s="49"/>
      <c r="V77" s="72" t="str">
        <f aca="false">IFERROR(IF((SUMIFS('10. Activity Data Log'!$U$7:$U$46,'10. Activity Data Log'!$C$7:$C$46,$D77,'10. Activity Data Log'!$AD$7:$AD$46,"Q1")+SUMIFS('11. Distribution Log'!$W$7:$W$46,'11. Distribution Log'!$C$7:$C$46,$D77,'11. Distribution Log'!$AI$7:$AI$46,"Q1"))=0,"",SUMIFS('10. Activity Data Log'!$U$7:$U$46,'10. Activity Data Log'!$C$7:$C$46,$D77,'10. Activity Data Log'!$AD$7:$AD$46,"Q1")+SUMIFS('11. Distribution Log'!$W$7:$W$46,'11. Distribution Log'!$C$7:$C$46,$D77,'11. Distribution Log'!$AI$7:$AI$46,"Q1")),"")</f>
        <v/>
      </c>
      <c r="W77" s="72" t="str">
        <f aca="false">IFERROR(IF((SUMIFS('10. Activity Data Log'!$U$7:$U$46,'10. Activity Data Log'!$C$7:$C$46,$D77,'10. Activity Data Log'!$AD$7:$AD$46,"Q2")+SUMIFS('11. Distribution Log'!$W$7:$W$46,'11. Distribution Log'!$C$7:$C$46,$D77,'11. Distribution Log'!$AI$7:$AI$46,"Q2"))=0,"",SUMIFS('10. Activity Data Log'!$U$7:$U$46,'10. Activity Data Log'!$C$7:$C$46,$D77,'10. Activity Data Log'!$AD$7:$AD$46,"Q2")+SUMIFS('11. Distribution Log'!$W$7:$W$46,'11. Distribution Log'!$C$7:$C$46,$D77,'11. Distribution Log'!$AI$7:$AI$46,"Q2")),"")</f>
        <v/>
      </c>
      <c r="X77" s="72" t="str">
        <f aca="false">IFERROR(IF((SUMIFS('10. Activity Data Log'!$U$7:$U$46,'10. Activity Data Log'!$C$7:$C$46,$D77,'10. Activity Data Log'!$AD$7:$AD$46,"Q3")+SUMIFS('11. Distribution Log'!$W$7:$W$46,'11. Distribution Log'!$C$7:$C$46,$D77,'11. Distribution Log'!$AI$7:$AI$46,"Q3"))=0,"",SUMIFS('10. Activity Data Log'!$U$7:$U$46,'10. Activity Data Log'!$C$7:$C$46,$D77,'10. Activity Data Log'!$AD$7:$AD$46,"Q3")+SUMIFS('11. Distribution Log'!$W$7:$W$46,'11. Distribution Log'!$C$7:$C$46,$D77,'11. Distribution Log'!$AI$7:$AI$46,"Q3")),"")</f>
        <v/>
      </c>
      <c r="Y77" s="72" t="str">
        <f aca="false">IFERROR(IF((SUMIFS('10. Activity Data Log'!$U$7:$U$46,'10. Activity Data Log'!$C$7:$C$46,$D77,'10. Activity Data Log'!$AD$7:$AD$46,"Q4")+SUMIFS('11. Distribution Log'!$W$7:$W$46,'11. Distribution Log'!$C$7:$C$46,$D77,'11. Distribution Log'!$AI$7:$AI$46,"Q4"))=0,"",SUMIFS('10. Activity Data Log'!$U$7:$U$46,'10. Activity Data Log'!$C$7:$C$46,$D77,'10. Activity Data Log'!$AD$7:$AD$46,"Q4")+SUMIFS('11. Distribution Log'!$W$7:$W$46,'11. Distribution Log'!$C$7:$C$46,$D77,'11. Distribution Log'!$AI$7:$AI$46,"Q4")),"")</f>
        <v/>
      </c>
      <c r="Z77" s="72" t="str">
        <f aca="false">IFERROR(IF((SUMIFS('10. Activity Data Log'!$U$7:$U$46,'10. Activity Data Log'!$C$7:$C$46,$D77,'10. Activity Data Log'!$AD$7:$AD$46,"Q5")+SUMIFS('11. Distribution Log'!$W$7:$W$46,'11. Distribution Log'!$C$7:$C$46,$D77,'11. Distribution Log'!$AI$7:$AI$46,"Q5"))=0,"",SUMIFS('10. Activity Data Log'!$U$7:$U$46,'10. Activity Data Log'!$C$7:$C$46,$D77,'10. Activity Data Log'!$AD$7:$AD$46,"Q5")+SUMIFS('11. Distribution Log'!$W$7:$W$46,'11. Distribution Log'!$C$7:$C$46,$D77,'11. Distribution Log'!$AI$7:$AI$46,"Q5")),"")</f>
        <v/>
      </c>
      <c r="AA77" s="72" t="str">
        <f aca="false">IFERROR(IF((SUMIFS('10. Activity Data Log'!$U$7:$U$46,'10. Activity Data Log'!$C$7:$C$46,$D77,'10. Activity Data Log'!$AD$7:$AD$46,"Q6")+SUMIFS('11. Distribution Log'!$W$7:$W$46,'11. Distribution Log'!$C$7:$C$46,$D77,'11. Distribution Log'!$AI$7:$AI$46,"Q6"))=0,"",SUMIFS('10. Activity Data Log'!$U$7:$U$46,'10. Activity Data Log'!$C$7:$C$46,$D77,'10. Activity Data Log'!$AD$7:$AD$46,"Q6")+SUMIFS('11. Distribution Log'!$W$7:$W$46,'11. Distribution Log'!$C$7:$C$46,$D77,'11. Distribution Log'!$AI$7:$AI$46,"Q6")),"")</f>
        <v/>
      </c>
      <c r="AB77" s="72" t="str">
        <f aca="false">IFERROR(IF((SUMIFS('10. Activity Data Log'!$U$7:$U$46,'10. Activity Data Log'!$C$7:$C$46,$D77,'10. Activity Data Log'!$AD$7:$AD$46,"Q7")+SUMIFS('11. Distribution Log'!$W$7:$W$46,'11. Distribution Log'!$C$7:$C$46,$D77,'11. Distribution Log'!$AI$7:$AI$46,"Q7"))=0,"",SUMIFS('10. Activity Data Log'!$U$7:$U$46,'10. Activity Data Log'!$C$7:$C$46,$D77,'10. Activity Data Log'!$AD$7:$AD$46,"Q7")+SUMIFS('11. Distribution Log'!$W$7:$W$46,'11. Distribution Log'!$C$7:$C$46,$D77,'11. Distribution Log'!$AI$7:$AI$46,"Q7")),"")</f>
        <v/>
      </c>
      <c r="AC77" s="72" t="str">
        <f aca="false">IFERROR(IF((SUMIFS('10. Activity Data Log'!$U$7:$U$46,'10. Activity Data Log'!$C$7:$C$46,$D77,'10. Activity Data Log'!$AD$7:$AD$46,"Q8")+SUMIFS('11. Distribution Log'!$W$7:$W$46,'11. Distribution Log'!$C$7:$C$46,$D77,'11. Distribution Log'!$AI$7:$AI$46,"Q8"))=0,"",SUMIFS('10. Activity Data Log'!$U$7:$U$46,'10. Activity Data Log'!$C$7:$C$46,$D77,'10. Activity Data Log'!$AD$7:$AD$46,"Q8")+SUMIFS('11. Distribution Log'!$W$7:$W$46,'11. Distribution Log'!$C$7:$C$46,$D77,'11. Distribution Log'!$AI$7:$AI$46,"Q8")),"")</f>
        <v/>
      </c>
      <c r="AD77" s="68" t="str">
        <f aca="false">IFERROR(IF(SUMPRODUCT((COLUMN(N77:U77)-COLUMN(N77)+1&lt;='7. IPTT'!$C$3)*N(N77:U77))=0,"",SUMPRODUCT((COLUMN(V77:AC77)-COLUMN(V77)+1&lt;='7. IPTT'!$C$3)*N(V77:AC77))/SUMPRODUCT((COLUMN(N77:U77)-COLUMN(N77)+1&lt;='7. IPTT'!$C$3)*N(N77:U77))),"")</f>
        <v/>
      </c>
      <c r="AE77" s="22" t="str">
        <f aca="false">IFERROR(IF(AD77="","No data yet",IF(AD77&gt;=0.9,"On Track",IF(AD77&gt;=0.7,"Slightly Behind","Behind"))),"")</f>
        <v>No data yet</v>
      </c>
      <c r="AF77" s="16" t="s">
        <v>1424</v>
      </c>
      <c r="AG77" s="16" t="s">
        <v>1389</v>
      </c>
      <c r="AH77" s="73" t="n">
        <v>174890.55</v>
      </c>
      <c r="AI77" s="74" t="n">
        <v>25009348.65</v>
      </c>
      <c r="AJ77" s="16" t="str">
        <f aca="false">IFERROR(IF(COUNTIF('10. Activity Data Log'!$C$7:$C$46,$D77)=0,"No Data Log entries yet",COUNTIF('10. Activity Data Log'!$C$7:$C$46,$D77)&amp;" entries logged, avg "&amp;TEXT(AVERAGEIF('10. Activity Data Log'!$C$7:$C$46,$D77,'10. Activity Data Log'!$AB$7:$AB$46),"0%")&amp;" of target"),"")</f>
        <v>No Data Log entries yet</v>
      </c>
      <c r="AK77" s="16" t="str">
        <f aca="false">IFERROR(IF(OR(J77="",J77="-"),"During [reporting period], FIVDB delivered: "&amp;E77&amp;" (target: "&amp;I77&amp;"). Source: "&amp;AM77&amp;".","During [reporting period], FIVDB delivered: "&amp;E77&amp;" (target: "&amp;I77&amp;"), contributing to indicator '"&amp;IFERROR(INDEX('7. IPTT'!$F$15:$F$37,MATCH(IF(ISNUMBER(FIND(",",J77)),TRIM(LEFT(J77,FIND(",",J77)-1)),TRIM(J77)),'7. IPTT'!$C$15:$C$37,0)),"")&amp;"' ("&amp;J77&amp;"). Source: "&amp;AM77&amp;"."),"During [reporting period], FIVDB delivered: "&amp;E77&amp;".")</f>
        <v>During [reporting period], FIVDB delivered: Conduct joint site verification and mapping of CBLF/GoLF and MPCAC locations with PIB. (target: 51 education sites + MPCAC sites mapped), contributing to indicator 'Number of learning spaces established or restored to minimum standards for safe learning' (R1-I2, R2-I4). Source: Derived from Annex 3 (Locations &amp; Integration Mapping) - camp-level CBLF/GoLF/MPCAC establishment references.</v>
      </c>
      <c r="AL77" s="16" t="s">
        <v>1425</v>
      </c>
      <c r="AM77" s="16" t="s">
        <v>1426</v>
      </c>
      <c r="AN77" s="22" t="s">
        <v>197</v>
      </c>
      <c r="AO77" s="16" t="s">
        <v>1427</v>
      </c>
    </row>
    <row r="78" customFormat="false" ht="99" hidden="false" customHeight="true" outlineLevel="0" collapsed="false">
      <c r="B78" s="22" t="s">
        <v>1381</v>
      </c>
      <c r="C78" s="22" t="s">
        <v>1382</v>
      </c>
      <c r="D78" s="22" t="s">
        <v>268</v>
      </c>
      <c r="E78" s="16" t="s">
        <v>1428</v>
      </c>
      <c r="F78" s="16"/>
      <c r="G78" s="16" t="s">
        <v>1102</v>
      </c>
      <c r="H78" s="16" t="s">
        <v>1103</v>
      </c>
      <c r="I78" s="16" t="s">
        <v>1429</v>
      </c>
      <c r="J78" s="22" t="s">
        <v>180</v>
      </c>
      <c r="K78" s="16" t="s">
        <v>1259</v>
      </c>
      <c r="L78" s="22" t="s">
        <v>1106</v>
      </c>
      <c r="M78" s="22" t="s">
        <v>1107</v>
      </c>
      <c r="N78" s="49"/>
      <c r="O78" s="49"/>
      <c r="P78" s="49"/>
      <c r="Q78" s="49"/>
      <c r="R78" s="49"/>
      <c r="S78" s="49"/>
      <c r="T78" s="49"/>
      <c r="U78" s="49"/>
      <c r="V78" s="72" t="str">
        <f aca="false">IFERROR(IF((SUMIFS('10. Activity Data Log'!$U$7:$U$46,'10. Activity Data Log'!$C$7:$C$46,$D78,'10. Activity Data Log'!$AD$7:$AD$46,"Q1")+SUMIFS('11. Distribution Log'!$W$7:$W$46,'11. Distribution Log'!$C$7:$C$46,$D78,'11. Distribution Log'!$AI$7:$AI$46,"Q1"))=0,"",SUMIFS('10. Activity Data Log'!$U$7:$U$46,'10. Activity Data Log'!$C$7:$C$46,$D78,'10. Activity Data Log'!$AD$7:$AD$46,"Q1")+SUMIFS('11. Distribution Log'!$W$7:$W$46,'11. Distribution Log'!$C$7:$C$46,$D78,'11. Distribution Log'!$AI$7:$AI$46,"Q1")),"")</f>
        <v/>
      </c>
      <c r="W78" s="72" t="str">
        <f aca="false">IFERROR(IF((SUMIFS('10. Activity Data Log'!$U$7:$U$46,'10. Activity Data Log'!$C$7:$C$46,$D78,'10. Activity Data Log'!$AD$7:$AD$46,"Q2")+SUMIFS('11. Distribution Log'!$W$7:$W$46,'11. Distribution Log'!$C$7:$C$46,$D78,'11. Distribution Log'!$AI$7:$AI$46,"Q2"))=0,"",SUMIFS('10. Activity Data Log'!$U$7:$U$46,'10. Activity Data Log'!$C$7:$C$46,$D78,'10. Activity Data Log'!$AD$7:$AD$46,"Q2")+SUMIFS('11. Distribution Log'!$W$7:$W$46,'11. Distribution Log'!$C$7:$C$46,$D78,'11. Distribution Log'!$AI$7:$AI$46,"Q2")),"")</f>
        <v/>
      </c>
      <c r="X78" s="72" t="str">
        <f aca="false">IFERROR(IF((SUMIFS('10. Activity Data Log'!$U$7:$U$46,'10. Activity Data Log'!$C$7:$C$46,$D78,'10. Activity Data Log'!$AD$7:$AD$46,"Q3")+SUMIFS('11. Distribution Log'!$W$7:$W$46,'11. Distribution Log'!$C$7:$C$46,$D78,'11. Distribution Log'!$AI$7:$AI$46,"Q3"))=0,"",SUMIFS('10. Activity Data Log'!$U$7:$U$46,'10. Activity Data Log'!$C$7:$C$46,$D78,'10. Activity Data Log'!$AD$7:$AD$46,"Q3")+SUMIFS('11. Distribution Log'!$W$7:$W$46,'11. Distribution Log'!$C$7:$C$46,$D78,'11. Distribution Log'!$AI$7:$AI$46,"Q3")),"")</f>
        <v/>
      </c>
      <c r="Y78" s="72" t="str">
        <f aca="false">IFERROR(IF((SUMIFS('10. Activity Data Log'!$U$7:$U$46,'10. Activity Data Log'!$C$7:$C$46,$D78,'10. Activity Data Log'!$AD$7:$AD$46,"Q4")+SUMIFS('11. Distribution Log'!$W$7:$W$46,'11. Distribution Log'!$C$7:$C$46,$D78,'11. Distribution Log'!$AI$7:$AI$46,"Q4"))=0,"",SUMIFS('10. Activity Data Log'!$U$7:$U$46,'10. Activity Data Log'!$C$7:$C$46,$D78,'10. Activity Data Log'!$AD$7:$AD$46,"Q4")+SUMIFS('11. Distribution Log'!$W$7:$W$46,'11. Distribution Log'!$C$7:$C$46,$D78,'11. Distribution Log'!$AI$7:$AI$46,"Q4")),"")</f>
        <v/>
      </c>
      <c r="Z78" s="72" t="str">
        <f aca="false">IFERROR(IF((SUMIFS('10. Activity Data Log'!$U$7:$U$46,'10. Activity Data Log'!$C$7:$C$46,$D78,'10. Activity Data Log'!$AD$7:$AD$46,"Q5")+SUMIFS('11. Distribution Log'!$W$7:$W$46,'11. Distribution Log'!$C$7:$C$46,$D78,'11. Distribution Log'!$AI$7:$AI$46,"Q5"))=0,"",SUMIFS('10. Activity Data Log'!$U$7:$U$46,'10. Activity Data Log'!$C$7:$C$46,$D78,'10. Activity Data Log'!$AD$7:$AD$46,"Q5")+SUMIFS('11. Distribution Log'!$W$7:$W$46,'11. Distribution Log'!$C$7:$C$46,$D78,'11. Distribution Log'!$AI$7:$AI$46,"Q5")),"")</f>
        <v/>
      </c>
      <c r="AA78" s="72" t="str">
        <f aca="false">IFERROR(IF((SUMIFS('10. Activity Data Log'!$U$7:$U$46,'10. Activity Data Log'!$C$7:$C$46,$D78,'10. Activity Data Log'!$AD$7:$AD$46,"Q6")+SUMIFS('11. Distribution Log'!$W$7:$W$46,'11. Distribution Log'!$C$7:$C$46,$D78,'11. Distribution Log'!$AI$7:$AI$46,"Q6"))=0,"",SUMIFS('10. Activity Data Log'!$U$7:$U$46,'10. Activity Data Log'!$C$7:$C$46,$D78,'10. Activity Data Log'!$AD$7:$AD$46,"Q6")+SUMIFS('11. Distribution Log'!$W$7:$W$46,'11. Distribution Log'!$C$7:$C$46,$D78,'11. Distribution Log'!$AI$7:$AI$46,"Q6")),"")</f>
        <v/>
      </c>
      <c r="AB78" s="72" t="str">
        <f aca="false">IFERROR(IF((SUMIFS('10. Activity Data Log'!$U$7:$U$46,'10. Activity Data Log'!$C$7:$C$46,$D78,'10. Activity Data Log'!$AD$7:$AD$46,"Q7")+SUMIFS('11. Distribution Log'!$W$7:$W$46,'11. Distribution Log'!$C$7:$C$46,$D78,'11. Distribution Log'!$AI$7:$AI$46,"Q7"))=0,"",SUMIFS('10. Activity Data Log'!$U$7:$U$46,'10. Activity Data Log'!$C$7:$C$46,$D78,'10. Activity Data Log'!$AD$7:$AD$46,"Q7")+SUMIFS('11. Distribution Log'!$W$7:$W$46,'11. Distribution Log'!$C$7:$C$46,$D78,'11. Distribution Log'!$AI$7:$AI$46,"Q7")),"")</f>
        <v/>
      </c>
      <c r="AC78" s="72" t="str">
        <f aca="false">IFERROR(IF((SUMIFS('10. Activity Data Log'!$U$7:$U$46,'10. Activity Data Log'!$C$7:$C$46,$D78,'10. Activity Data Log'!$AD$7:$AD$46,"Q8")+SUMIFS('11. Distribution Log'!$W$7:$W$46,'11. Distribution Log'!$C$7:$C$46,$D78,'11. Distribution Log'!$AI$7:$AI$46,"Q8"))=0,"",SUMIFS('10. Activity Data Log'!$U$7:$U$46,'10. Activity Data Log'!$C$7:$C$46,$D78,'10. Activity Data Log'!$AD$7:$AD$46,"Q8")+SUMIFS('11. Distribution Log'!$W$7:$W$46,'11. Distribution Log'!$C$7:$C$46,$D78,'11. Distribution Log'!$AI$7:$AI$46,"Q8")),"")</f>
        <v/>
      </c>
      <c r="AD78" s="68" t="str">
        <f aca="false">IFERROR(IF(SUMPRODUCT((COLUMN(N78:U78)-COLUMN(N78)+1&lt;='7. IPTT'!$C$3)*N(N78:U78))=0,"",SUMPRODUCT((COLUMN(V78:AC78)-COLUMN(V78)+1&lt;='7. IPTT'!$C$3)*N(V78:AC78))/SUMPRODUCT((COLUMN(N78:U78)-COLUMN(N78)+1&lt;='7. IPTT'!$C$3)*N(N78:U78))),"")</f>
        <v/>
      </c>
      <c r="AE78" s="22" t="str">
        <f aca="false">IFERROR(IF(AD78="","No data yet",IF(AD78&gt;=0.9,"On Track",IF(AD78&gt;=0.7,"Slightly Behind","Behind"))),"")</f>
        <v>No data yet</v>
      </c>
      <c r="AF78" s="16" t="s">
        <v>1430</v>
      </c>
      <c r="AG78" s="16" t="s">
        <v>1389</v>
      </c>
      <c r="AH78" s="73" t="n">
        <v>174890.55</v>
      </c>
      <c r="AI78" s="74" t="n">
        <v>25009348.65</v>
      </c>
      <c r="AJ78" s="16" t="str">
        <f aca="false">IFERROR(IF(COUNTIF('10. Activity Data Log'!$C$7:$C$46,$D78)=0,"No Data Log entries yet",COUNTIF('10. Activity Data Log'!$C$7:$C$46,$D78)&amp;" entries logged, avg "&amp;TEXT(AVERAGEIF('10. Activity Data Log'!$C$7:$C$46,$D78,'10. Activity Data Log'!$AB$7:$AB$46),"0%")&amp;" of target"),"")</f>
        <v>No Data Log entries yet</v>
      </c>
      <c r="AK78" s="16" t="str">
        <f aca="false">IFERROR(IF(OR(J78="",J78="-"),"During [reporting period], FIVDB delivered: "&amp;E78&amp;" (target: "&amp;I78&amp;"). Source: "&amp;AM78&amp;".","During [reporting period], FIVDB delivered: "&amp;E78&amp;" (target: "&amp;I78&amp;"), contributing to indicator '"&amp;IFERROR(INDEX('7. IPTT'!$F$15:$F$37,MATCH(IF(ISNUMBER(FIND(",",J78)),TRIM(LEFT(J78,FIND(",",J78)-1)),TRIM(J78)),'7. IPTT'!$C$15:$C$37,0)),"")&amp;"' ("&amp;J78&amp;"). Source: "&amp;AM78&amp;"."),"During [reporting period], FIVDB delivered: "&amp;E78&amp;".")</f>
        <v>During [reporting period], FIVDB delivered: Support data collection for the baseline / KAP survey in FIVDB's camps. (target: Baseline data collected for FIVDB camps), contributing to indicator '% of beneficiaries reporting that humanitarian assistance is delivered in a safe, accessible, accountable and participatory manner' (SO-I1). Source: Annex 18 Workplan, Row 156 (SCI-Base Line Survey, External).</v>
      </c>
      <c r="AL78" s="16" t="s">
        <v>1431</v>
      </c>
      <c r="AM78" s="16" t="s">
        <v>1432</v>
      </c>
      <c r="AN78" s="22" t="s">
        <v>181</v>
      </c>
      <c r="AO78" s="16" t="s">
        <v>1433</v>
      </c>
    </row>
    <row r="79" customFormat="false" ht="99" hidden="false" customHeight="true" outlineLevel="0" collapsed="false">
      <c r="B79" s="22" t="s">
        <v>1381</v>
      </c>
      <c r="C79" s="22" t="s">
        <v>1382</v>
      </c>
      <c r="D79" s="22" t="s">
        <v>1434</v>
      </c>
      <c r="E79" s="16" t="s">
        <v>1435</v>
      </c>
      <c r="F79" s="16"/>
      <c r="G79" s="16" t="s">
        <v>1102</v>
      </c>
      <c r="H79" s="16" t="s">
        <v>1436</v>
      </c>
      <c r="I79" s="16" t="s">
        <v>1437</v>
      </c>
      <c r="J79" s="22" t="s">
        <v>543</v>
      </c>
      <c r="K79" s="16" t="s">
        <v>1245</v>
      </c>
      <c r="L79" s="22" t="n">
        <v>6</v>
      </c>
      <c r="M79" s="22" t="s">
        <v>1438</v>
      </c>
      <c r="N79" s="49"/>
      <c r="O79" s="49"/>
      <c r="P79" s="49"/>
      <c r="Q79" s="49"/>
      <c r="R79" s="49"/>
      <c r="S79" s="49"/>
      <c r="T79" s="49"/>
      <c r="U79" s="49"/>
      <c r="V79" s="72" t="str">
        <f aca="false">IFERROR(IF((SUMIFS('10. Activity Data Log'!$U$7:$U$46,'10. Activity Data Log'!$C$7:$C$46,$D79,'10. Activity Data Log'!$AD$7:$AD$46,"Q1")+SUMIFS('11. Distribution Log'!$W$7:$W$46,'11. Distribution Log'!$C$7:$C$46,$D79,'11. Distribution Log'!$AI$7:$AI$46,"Q1"))=0,"",SUMIFS('10. Activity Data Log'!$U$7:$U$46,'10. Activity Data Log'!$C$7:$C$46,$D79,'10. Activity Data Log'!$AD$7:$AD$46,"Q1")+SUMIFS('11. Distribution Log'!$W$7:$W$46,'11. Distribution Log'!$C$7:$C$46,$D79,'11. Distribution Log'!$AI$7:$AI$46,"Q1")),"")</f>
        <v/>
      </c>
      <c r="W79" s="72" t="str">
        <f aca="false">IFERROR(IF((SUMIFS('10. Activity Data Log'!$U$7:$U$46,'10. Activity Data Log'!$C$7:$C$46,$D79,'10. Activity Data Log'!$AD$7:$AD$46,"Q2")+SUMIFS('11. Distribution Log'!$W$7:$W$46,'11. Distribution Log'!$C$7:$C$46,$D79,'11. Distribution Log'!$AI$7:$AI$46,"Q2"))=0,"",SUMIFS('10. Activity Data Log'!$U$7:$U$46,'10. Activity Data Log'!$C$7:$C$46,$D79,'10. Activity Data Log'!$AD$7:$AD$46,"Q2")+SUMIFS('11. Distribution Log'!$W$7:$W$46,'11. Distribution Log'!$C$7:$C$46,$D79,'11. Distribution Log'!$AI$7:$AI$46,"Q2")),"")</f>
        <v/>
      </c>
      <c r="X79" s="72" t="str">
        <f aca="false">IFERROR(IF((SUMIFS('10. Activity Data Log'!$U$7:$U$46,'10. Activity Data Log'!$C$7:$C$46,$D79,'10. Activity Data Log'!$AD$7:$AD$46,"Q3")+SUMIFS('11. Distribution Log'!$W$7:$W$46,'11. Distribution Log'!$C$7:$C$46,$D79,'11. Distribution Log'!$AI$7:$AI$46,"Q3"))=0,"",SUMIFS('10. Activity Data Log'!$U$7:$U$46,'10. Activity Data Log'!$C$7:$C$46,$D79,'10. Activity Data Log'!$AD$7:$AD$46,"Q3")+SUMIFS('11. Distribution Log'!$W$7:$W$46,'11. Distribution Log'!$C$7:$C$46,$D79,'11. Distribution Log'!$AI$7:$AI$46,"Q3")),"")</f>
        <v/>
      </c>
      <c r="Y79" s="72" t="str">
        <f aca="false">IFERROR(IF((SUMIFS('10. Activity Data Log'!$U$7:$U$46,'10. Activity Data Log'!$C$7:$C$46,$D79,'10. Activity Data Log'!$AD$7:$AD$46,"Q4")+SUMIFS('11. Distribution Log'!$W$7:$W$46,'11. Distribution Log'!$C$7:$C$46,$D79,'11. Distribution Log'!$AI$7:$AI$46,"Q4"))=0,"",SUMIFS('10. Activity Data Log'!$U$7:$U$46,'10. Activity Data Log'!$C$7:$C$46,$D79,'10. Activity Data Log'!$AD$7:$AD$46,"Q4")+SUMIFS('11. Distribution Log'!$W$7:$W$46,'11. Distribution Log'!$C$7:$C$46,$D79,'11. Distribution Log'!$AI$7:$AI$46,"Q4")),"")</f>
        <v/>
      </c>
      <c r="Z79" s="72" t="str">
        <f aca="false">IFERROR(IF((SUMIFS('10. Activity Data Log'!$U$7:$U$46,'10. Activity Data Log'!$C$7:$C$46,$D79,'10. Activity Data Log'!$AD$7:$AD$46,"Q5")+SUMIFS('11. Distribution Log'!$W$7:$W$46,'11. Distribution Log'!$C$7:$C$46,$D79,'11. Distribution Log'!$AI$7:$AI$46,"Q5"))=0,"",SUMIFS('10. Activity Data Log'!$U$7:$U$46,'10. Activity Data Log'!$C$7:$C$46,$D79,'10. Activity Data Log'!$AD$7:$AD$46,"Q5")+SUMIFS('11. Distribution Log'!$W$7:$W$46,'11. Distribution Log'!$C$7:$C$46,$D79,'11. Distribution Log'!$AI$7:$AI$46,"Q5")),"")</f>
        <v/>
      </c>
      <c r="AA79" s="72" t="str">
        <f aca="false">IFERROR(IF((SUMIFS('10. Activity Data Log'!$U$7:$U$46,'10. Activity Data Log'!$C$7:$C$46,$D79,'10. Activity Data Log'!$AD$7:$AD$46,"Q6")+SUMIFS('11. Distribution Log'!$W$7:$W$46,'11. Distribution Log'!$C$7:$C$46,$D79,'11. Distribution Log'!$AI$7:$AI$46,"Q6"))=0,"",SUMIFS('10. Activity Data Log'!$U$7:$U$46,'10. Activity Data Log'!$C$7:$C$46,$D79,'10. Activity Data Log'!$AD$7:$AD$46,"Q6")+SUMIFS('11. Distribution Log'!$W$7:$W$46,'11. Distribution Log'!$C$7:$C$46,$D79,'11. Distribution Log'!$AI$7:$AI$46,"Q6")),"")</f>
        <v/>
      </c>
      <c r="AB79" s="72" t="str">
        <f aca="false">IFERROR(IF((SUMIFS('10. Activity Data Log'!$U$7:$U$46,'10. Activity Data Log'!$C$7:$C$46,$D79,'10. Activity Data Log'!$AD$7:$AD$46,"Q7")+SUMIFS('11. Distribution Log'!$W$7:$W$46,'11. Distribution Log'!$C$7:$C$46,$D79,'11. Distribution Log'!$AI$7:$AI$46,"Q7"))=0,"",SUMIFS('10. Activity Data Log'!$U$7:$U$46,'10. Activity Data Log'!$C$7:$C$46,$D79,'10. Activity Data Log'!$AD$7:$AD$46,"Q7")+SUMIFS('11. Distribution Log'!$W$7:$W$46,'11. Distribution Log'!$C$7:$C$46,$D79,'11. Distribution Log'!$AI$7:$AI$46,"Q7")),"")</f>
        <v/>
      </c>
      <c r="AC79" s="72" t="str">
        <f aca="false">IFERROR(IF((SUMIFS('10. Activity Data Log'!$U$7:$U$46,'10. Activity Data Log'!$C$7:$C$46,$D79,'10. Activity Data Log'!$AD$7:$AD$46,"Q8")+SUMIFS('11. Distribution Log'!$W$7:$W$46,'11. Distribution Log'!$C$7:$C$46,$D79,'11. Distribution Log'!$AI$7:$AI$46,"Q8"))=0,"",SUMIFS('10. Activity Data Log'!$U$7:$U$46,'10. Activity Data Log'!$C$7:$C$46,$D79,'10. Activity Data Log'!$AD$7:$AD$46,"Q8")+SUMIFS('11. Distribution Log'!$W$7:$W$46,'11. Distribution Log'!$C$7:$C$46,$D79,'11. Distribution Log'!$AI$7:$AI$46,"Q8")),"")</f>
        <v/>
      </c>
      <c r="AD79" s="68" t="str">
        <f aca="false">IFERROR(IF(SUMPRODUCT((COLUMN(N79:U79)-COLUMN(N79)+1&lt;='7. IPTT'!$C$3)*N(N79:U79))=0,"",SUMPRODUCT((COLUMN(V79:AC79)-COLUMN(V79)+1&lt;='7. IPTT'!$C$3)*N(V79:AC79))/SUMPRODUCT((COLUMN(N79:U79)-COLUMN(N79)+1&lt;='7. IPTT'!$C$3)*N(N79:U79))),"")</f>
        <v/>
      </c>
      <c r="AE79" s="22" t="str">
        <f aca="false">IFERROR(IF(AD79="","No data yet",IF(AD79&gt;=0.9,"On Track",IF(AD79&gt;=0.7,"Slightly Behind","Behind"))),"")</f>
        <v>No data yet</v>
      </c>
      <c r="AF79" s="16" t="s">
        <v>1397</v>
      </c>
      <c r="AG79" s="16" t="s">
        <v>1389</v>
      </c>
      <c r="AH79" s="73" t="n">
        <v>174890.55</v>
      </c>
      <c r="AI79" s="74" t="n">
        <v>25009348.65</v>
      </c>
      <c r="AJ79" s="16" t="str">
        <f aca="false">IFERROR(IF(COUNTIF('10. Activity Data Log'!$C$7:$C$46,$D79)=0,"No Data Log entries yet",COUNTIF('10. Activity Data Log'!$C$7:$C$46,$D79)&amp;" entries logged, avg "&amp;TEXT(AVERAGEIF('10. Activity Data Log'!$C$7:$C$46,$D79,'10. Activity Data Log'!$AB$7:$AB$46),"0%")&amp;" of target"),"")</f>
        <v>No Data Log entries yet</v>
      </c>
      <c r="AK79" s="16" t="str">
        <f aca="false">IFERROR(IF(OR(J79="",J79="-"),"During [reporting period], FIVDB delivered: "&amp;E79&amp;" (target: "&amp;I79&amp;"). Source: "&amp;AM79&amp;".","During [reporting period], FIVDB delivered: "&amp;E79&amp;" (target: "&amp;I79&amp;"), contributing to indicator '"&amp;IFERROR(INDEX('7. IPTT'!$F$15:$F$37,MATCH(IF(ISNUMBER(FIND(",",J79)),TRIM(LEFT(J79,FIND(",",J79)-1)),TRIM(J79)),'7. IPTT'!$C$15:$C$37,0)),"")&amp;"' ("&amp;J79&amp;"). Source: "&amp;AM79&amp;"."),"During [reporting period], FIVDB delivered: "&amp;E79&amp;".")</f>
        <v>During [reporting period], FIVDB delivered: Support preparation and submission of FD-6 documentation (distinct from the FD7 camp-access approval in INC-2). (target: FD-6 submitted and cleared). Source: Annex 18 Workplan, Row 148 (FD-6 Preparation and Submission).</v>
      </c>
      <c r="AL79" s="16" t="s">
        <v>1439</v>
      </c>
      <c r="AM79" s="16" t="s">
        <v>1440</v>
      </c>
      <c r="AN79" s="22" t="s">
        <v>658</v>
      </c>
      <c r="AO79" s="16" t="s">
        <v>1441</v>
      </c>
    </row>
    <row r="80" customFormat="false" ht="99" hidden="false" customHeight="true" outlineLevel="0" collapsed="false">
      <c r="B80" s="22" t="s">
        <v>1381</v>
      </c>
      <c r="C80" s="22" t="s">
        <v>1382</v>
      </c>
      <c r="D80" s="22" t="s">
        <v>1442</v>
      </c>
      <c r="E80" s="16" t="s">
        <v>1443</v>
      </c>
      <c r="F80" s="16"/>
      <c r="G80" s="16" t="s">
        <v>1102</v>
      </c>
      <c r="H80" s="16" t="s">
        <v>1403</v>
      </c>
      <c r="I80" s="16" t="s">
        <v>1444</v>
      </c>
      <c r="J80" s="22" t="s">
        <v>543</v>
      </c>
      <c r="K80" s="16" t="s">
        <v>1245</v>
      </c>
      <c r="L80" s="22" t="s">
        <v>1106</v>
      </c>
      <c r="M80" s="22" t="s">
        <v>1445</v>
      </c>
      <c r="N80" s="49"/>
      <c r="O80" s="49"/>
      <c r="P80" s="49"/>
      <c r="Q80" s="49"/>
      <c r="R80" s="49"/>
      <c r="S80" s="49"/>
      <c r="T80" s="49"/>
      <c r="U80" s="49"/>
      <c r="V80" s="72" t="str">
        <f aca="false">IFERROR(IF((SUMIFS('10. Activity Data Log'!$U$7:$U$46,'10. Activity Data Log'!$C$7:$C$46,$D80,'10. Activity Data Log'!$AD$7:$AD$46,"Q1")+SUMIFS('11. Distribution Log'!$W$7:$W$46,'11. Distribution Log'!$C$7:$C$46,$D80,'11. Distribution Log'!$AI$7:$AI$46,"Q1"))=0,"",SUMIFS('10. Activity Data Log'!$U$7:$U$46,'10. Activity Data Log'!$C$7:$C$46,$D80,'10. Activity Data Log'!$AD$7:$AD$46,"Q1")+SUMIFS('11. Distribution Log'!$W$7:$W$46,'11. Distribution Log'!$C$7:$C$46,$D80,'11. Distribution Log'!$AI$7:$AI$46,"Q1")),"")</f>
        <v/>
      </c>
      <c r="W80" s="72" t="str">
        <f aca="false">IFERROR(IF((SUMIFS('10. Activity Data Log'!$U$7:$U$46,'10. Activity Data Log'!$C$7:$C$46,$D80,'10. Activity Data Log'!$AD$7:$AD$46,"Q2")+SUMIFS('11. Distribution Log'!$W$7:$W$46,'11. Distribution Log'!$C$7:$C$46,$D80,'11. Distribution Log'!$AI$7:$AI$46,"Q2"))=0,"",SUMIFS('10. Activity Data Log'!$U$7:$U$46,'10. Activity Data Log'!$C$7:$C$46,$D80,'10. Activity Data Log'!$AD$7:$AD$46,"Q2")+SUMIFS('11. Distribution Log'!$W$7:$W$46,'11. Distribution Log'!$C$7:$C$46,$D80,'11. Distribution Log'!$AI$7:$AI$46,"Q2")),"")</f>
        <v/>
      </c>
      <c r="X80" s="72" t="str">
        <f aca="false">IFERROR(IF((SUMIFS('10. Activity Data Log'!$U$7:$U$46,'10. Activity Data Log'!$C$7:$C$46,$D80,'10. Activity Data Log'!$AD$7:$AD$46,"Q3")+SUMIFS('11. Distribution Log'!$W$7:$W$46,'11. Distribution Log'!$C$7:$C$46,$D80,'11. Distribution Log'!$AI$7:$AI$46,"Q3"))=0,"",SUMIFS('10. Activity Data Log'!$U$7:$U$46,'10. Activity Data Log'!$C$7:$C$46,$D80,'10. Activity Data Log'!$AD$7:$AD$46,"Q3")+SUMIFS('11. Distribution Log'!$W$7:$W$46,'11. Distribution Log'!$C$7:$C$46,$D80,'11. Distribution Log'!$AI$7:$AI$46,"Q3")),"")</f>
        <v/>
      </c>
      <c r="Y80" s="72" t="str">
        <f aca="false">IFERROR(IF((SUMIFS('10. Activity Data Log'!$U$7:$U$46,'10. Activity Data Log'!$C$7:$C$46,$D80,'10. Activity Data Log'!$AD$7:$AD$46,"Q4")+SUMIFS('11. Distribution Log'!$W$7:$W$46,'11. Distribution Log'!$C$7:$C$46,$D80,'11. Distribution Log'!$AI$7:$AI$46,"Q4"))=0,"",SUMIFS('10. Activity Data Log'!$U$7:$U$46,'10. Activity Data Log'!$C$7:$C$46,$D80,'10. Activity Data Log'!$AD$7:$AD$46,"Q4")+SUMIFS('11. Distribution Log'!$W$7:$W$46,'11. Distribution Log'!$C$7:$C$46,$D80,'11. Distribution Log'!$AI$7:$AI$46,"Q4")),"")</f>
        <v/>
      </c>
      <c r="Z80" s="72" t="str">
        <f aca="false">IFERROR(IF((SUMIFS('10. Activity Data Log'!$U$7:$U$46,'10. Activity Data Log'!$C$7:$C$46,$D80,'10. Activity Data Log'!$AD$7:$AD$46,"Q5")+SUMIFS('11. Distribution Log'!$W$7:$W$46,'11. Distribution Log'!$C$7:$C$46,$D80,'11. Distribution Log'!$AI$7:$AI$46,"Q5"))=0,"",SUMIFS('10. Activity Data Log'!$U$7:$U$46,'10. Activity Data Log'!$C$7:$C$46,$D80,'10. Activity Data Log'!$AD$7:$AD$46,"Q5")+SUMIFS('11. Distribution Log'!$W$7:$W$46,'11. Distribution Log'!$C$7:$C$46,$D80,'11. Distribution Log'!$AI$7:$AI$46,"Q5")),"")</f>
        <v/>
      </c>
      <c r="AA80" s="72" t="str">
        <f aca="false">IFERROR(IF((SUMIFS('10. Activity Data Log'!$U$7:$U$46,'10. Activity Data Log'!$C$7:$C$46,$D80,'10. Activity Data Log'!$AD$7:$AD$46,"Q6")+SUMIFS('11. Distribution Log'!$W$7:$W$46,'11. Distribution Log'!$C$7:$C$46,$D80,'11. Distribution Log'!$AI$7:$AI$46,"Q6"))=0,"",SUMIFS('10. Activity Data Log'!$U$7:$U$46,'10. Activity Data Log'!$C$7:$C$46,$D80,'10. Activity Data Log'!$AD$7:$AD$46,"Q6")+SUMIFS('11. Distribution Log'!$W$7:$W$46,'11. Distribution Log'!$C$7:$C$46,$D80,'11. Distribution Log'!$AI$7:$AI$46,"Q6")),"")</f>
        <v/>
      </c>
      <c r="AB80" s="72" t="str">
        <f aca="false">IFERROR(IF((SUMIFS('10. Activity Data Log'!$U$7:$U$46,'10. Activity Data Log'!$C$7:$C$46,$D80,'10. Activity Data Log'!$AD$7:$AD$46,"Q7")+SUMIFS('11. Distribution Log'!$W$7:$W$46,'11. Distribution Log'!$C$7:$C$46,$D80,'11. Distribution Log'!$AI$7:$AI$46,"Q7"))=0,"",SUMIFS('10. Activity Data Log'!$U$7:$U$46,'10. Activity Data Log'!$C$7:$C$46,$D80,'10. Activity Data Log'!$AD$7:$AD$46,"Q7")+SUMIFS('11. Distribution Log'!$W$7:$W$46,'11. Distribution Log'!$C$7:$C$46,$D80,'11. Distribution Log'!$AI$7:$AI$46,"Q7")),"")</f>
        <v/>
      </c>
      <c r="AC80" s="72" t="str">
        <f aca="false">IFERROR(IF((SUMIFS('10. Activity Data Log'!$U$7:$U$46,'10. Activity Data Log'!$C$7:$C$46,$D80,'10. Activity Data Log'!$AD$7:$AD$46,"Q8")+SUMIFS('11. Distribution Log'!$W$7:$W$46,'11. Distribution Log'!$C$7:$C$46,$D80,'11. Distribution Log'!$AI$7:$AI$46,"Q8"))=0,"",SUMIFS('10. Activity Data Log'!$U$7:$U$46,'10. Activity Data Log'!$C$7:$C$46,$D80,'10. Activity Data Log'!$AD$7:$AD$46,"Q8")+SUMIFS('11. Distribution Log'!$W$7:$W$46,'11. Distribution Log'!$C$7:$C$46,$D80,'11. Distribution Log'!$AI$7:$AI$46,"Q8")),"")</f>
        <v/>
      </c>
      <c r="AD80" s="68" t="str">
        <f aca="false">IFERROR(IF(SUMPRODUCT((COLUMN(N80:U80)-COLUMN(N80)+1&lt;='7. IPTT'!$C$3)*N(N80:U80))=0,"",SUMPRODUCT((COLUMN(V80:AC80)-COLUMN(V80)+1&lt;='7. IPTT'!$C$3)*N(V80:AC80))/SUMPRODUCT((COLUMN(N80:U80)-COLUMN(N80)+1&lt;='7. IPTT'!$C$3)*N(N80:U80))),"")</f>
        <v/>
      </c>
      <c r="AE80" s="22" t="str">
        <f aca="false">IFERROR(IF(AD80="","No data yet",IF(AD80&gt;=0.9,"On Track",IF(AD80&gt;=0.7,"Slightly Behind","Behind"))),"")</f>
        <v>No data yet</v>
      </c>
      <c r="AF80" s="16" t="s">
        <v>1397</v>
      </c>
      <c r="AG80" s="16" t="s">
        <v>1389</v>
      </c>
      <c r="AH80" s="73" t="n">
        <v>174890.55</v>
      </c>
      <c r="AI80" s="74" t="n">
        <v>25009348.65</v>
      </c>
      <c r="AJ80" s="16" t="str">
        <f aca="false">IFERROR(IF(COUNTIF('10. Activity Data Log'!$C$7:$C$46,$D80)=0,"No Data Log entries yet",COUNTIF('10. Activity Data Log'!$C$7:$C$46,$D80)&amp;" entries logged, avg "&amp;TEXT(AVERAGEIF('10. Activity Data Log'!$C$7:$C$46,$D80,'10. Activity Data Log'!$AB$7:$AB$46),"0%")&amp;" of target"),"")</f>
        <v>No Data Log entries yet</v>
      </c>
      <c r="AK80" s="16" t="str">
        <f aca="false">IFERROR(IF(OR(J80="",J80="-"),"During [reporting period], FIVDB delivered: "&amp;E80&amp;" (target: "&amp;I80&amp;"). Source: "&amp;AM80&amp;".","During [reporting period], FIVDB delivered: "&amp;E80&amp;" (target: "&amp;I80&amp;"), contributing to indicator '"&amp;IFERROR(INDEX('7. IPTT'!$F$15:$F$37,MATCH(IF(ISNUMBER(FIND(",",J80)),TRIM(LEFT(J80,FIND(",",J80)-1)),TRIM(J80)),'7. IPTT'!$C$15:$C$37,0)),"")&amp;"' ("&amp;J80&amp;"). Source: "&amp;AM80&amp;"."),"During [reporting period], FIVDB delivered: "&amp;E80&amp;".")</f>
        <v>During [reporting period], FIVDB delivered: Sign the FIVDB-PIB partnership/sub-agreement setting out roles, budget and reporting lines. (target: Signed partnership agreement). Source: Annex 18 Workplan, Row 151 (Partner Agreement).</v>
      </c>
      <c r="AL80" s="16" t="s">
        <v>1446</v>
      </c>
      <c r="AM80" s="16" t="s">
        <v>1447</v>
      </c>
      <c r="AN80" s="22" t="s">
        <v>658</v>
      </c>
      <c r="AO80" s="16" t="s">
        <v>1448</v>
      </c>
    </row>
    <row r="81" customFormat="false" ht="99" hidden="false" customHeight="true" outlineLevel="0" collapsed="false">
      <c r="B81" s="22" t="s">
        <v>1381</v>
      </c>
      <c r="C81" s="22" t="s">
        <v>1382</v>
      </c>
      <c r="D81" s="22" t="s">
        <v>1449</v>
      </c>
      <c r="E81" s="16" t="s">
        <v>1450</v>
      </c>
      <c r="F81" s="16"/>
      <c r="G81" s="16" t="s">
        <v>1385</v>
      </c>
      <c r="H81" s="16" t="s">
        <v>1103</v>
      </c>
      <c r="I81" s="16" t="s">
        <v>1451</v>
      </c>
      <c r="J81" s="22" t="s">
        <v>543</v>
      </c>
      <c r="K81" s="16" t="s">
        <v>1245</v>
      </c>
      <c r="L81" s="22" t="s">
        <v>1106</v>
      </c>
      <c r="M81" s="22" t="s">
        <v>1387</v>
      </c>
      <c r="N81" s="49"/>
      <c r="O81" s="49"/>
      <c r="P81" s="49"/>
      <c r="Q81" s="49"/>
      <c r="R81" s="49"/>
      <c r="S81" s="49"/>
      <c r="T81" s="49"/>
      <c r="U81" s="49"/>
      <c r="V81" s="72" t="str">
        <f aca="false">IFERROR(IF((SUMIFS('10. Activity Data Log'!$U$7:$U$46,'10. Activity Data Log'!$C$7:$C$46,$D81,'10. Activity Data Log'!$AD$7:$AD$46,"Q1")+SUMIFS('11. Distribution Log'!$W$7:$W$46,'11. Distribution Log'!$C$7:$C$46,$D81,'11. Distribution Log'!$AI$7:$AI$46,"Q1"))=0,"",SUMIFS('10. Activity Data Log'!$U$7:$U$46,'10. Activity Data Log'!$C$7:$C$46,$D81,'10. Activity Data Log'!$AD$7:$AD$46,"Q1")+SUMIFS('11. Distribution Log'!$W$7:$W$46,'11. Distribution Log'!$C$7:$C$46,$D81,'11. Distribution Log'!$AI$7:$AI$46,"Q1")),"")</f>
        <v/>
      </c>
      <c r="W81" s="72" t="str">
        <f aca="false">IFERROR(IF((SUMIFS('10. Activity Data Log'!$U$7:$U$46,'10. Activity Data Log'!$C$7:$C$46,$D81,'10. Activity Data Log'!$AD$7:$AD$46,"Q2")+SUMIFS('11. Distribution Log'!$W$7:$W$46,'11. Distribution Log'!$C$7:$C$46,$D81,'11. Distribution Log'!$AI$7:$AI$46,"Q2"))=0,"",SUMIFS('10. Activity Data Log'!$U$7:$U$46,'10. Activity Data Log'!$C$7:$C$46,$D81,'10. Activity Data Log'!$AD$7:$AD$46,"Q2")+SUMIFS('11. Distribution Log'!$W$7:$W$46,'11. Distribution Log'!$C$7:$C$46,$D81,'11. Distribution Log'!$AI$7:$AI$46,"Q2")),"")</f>
        <v/>
      </c>
      <c r="X81" s="72" t="str">
        <f aca="false">IFERROR(IF((SUMIFS('10. Activity Data Log'!$U$7:$U$46,'10. Activity Data Log'!$C$7:$C$46,$D81,'10. Activity Data Log'!$AD$7:$AD$46,"Q3")+SUMIFS('11. Distribution Log'!$W$7:$W$46,'11. Distribution Log'!$C$7:$C$46,$D81,'11. Distribution Log'!$AI$7:$AI$46,"Q3"))=0,"",SUMIFS('10. Activity Data Log'!$U$7:$U$46,'10. Activity Data Log'!$C$7:$C$46,$D81,'10. Activity Data Log'!$AD$7:$AD$46,"Q3")+SUMIFS('11. Distribution Log'!$W$7:$W$46,'11. Distribution Log'!$C$7:$C$46,$D81,'11. Distribution Log'!$AI$7:$AI$46,"Q3")),"")</f>
        <v/>
      </c>
      <c r="Y81" s="72" t="str">
        <f aca="false">IFERROR(IF((SUMIFS('10. Activity Data Log'!$U$7:$U$46,'10. Activity Data Log'!$C$7:$C$46,$D81,'10. Activity Data Log'!$AD$7:$AD$46,"Q4")+SUMIFS('11. Distribution Log'!$W$7:$W$46,'11. Distribution Log'!$C$7:$C$46,$D81,'11. Distribution Log'!$AI$7:$AI$46,"Q4"))=0,"",SUMIFS('10. Activity Data Log'!$U$7:$U$46,'10. Activity Data Log'!$C$7:$C$46,$D81,'10. Activity Data Log'!$AD$7:$AD$46,"Q4")+SUMIFS('11. Distribution Log'!$W$7:$W$46,'11. Distribution Log'!$C$7:$C$46,$D81,'11. Distribution Log'!$AI$7:$AI$46,"Q4")),"")</f>
        <v/>
      </c>
      <c r="Z81" s="72" t="str">
        <f aca="false">IFERROR(IF((SUMIFS('10. Activity Data Log'!$U$7:$U$46,'10. Activity Data Log'!$C$7:$C$46,$D81,'10. Activity Data Log'!$AD$7:$AD$46,"Q5")+SUMIFS('11. Distribution Log'!$W$7:$W$46,'11. Distribution Log'!$C$7:$C$46,$D81,'11. Distribution Log'!$AI$7:$AI$46,"Q5"))=0,"",SUMIFS('10. Activity Data Log'!$U$7:$U$46,'10. Activity Data Log'!$C$7:$C$46,$D81,'10. Activity Data Log'!$AD$7:$AD$46,"Q5")+SUMIFS('11. Distribution Log'!$W$7:$W$46,'11. Distribution Log'!$C$7:$C$46,$D81,'11. Distribution Log'!$AI$7:$AI$46,"Q5")),"")</f>
        <v/>
      </c>
      <c r="AA81" s="72" t="str">
        <f aca="false">IFERROR(IF((SUMIFS('10. Activity Data Log'!$U$7:$U$46,'10. Activity Data Log'!$C$7:$C$46,$D81,'10. Activity Data Log'!$AD$7:$AD$46,"Q6")+SUMIFS('11. Distribution Log'!$W$7:$W$46,'11. Distribution Log'!$C$7:$C$46,$D81,'11. Distribution Log'!$AI$7:$AI$46,"Q6"))=0,"",SUMIFS('10. Activity Data Log'!$U$7:$U$46,'10. Activity Data Log'!$C$7:$C$46,$D81,'10. Activity Data Log'!$AD$7:$AD$46,"Q6")+SUMIFS('11. Distribution Log'!$W$7:$W$46,'11. Distribution Log'!$C$7:$C$46,$D81,'11. Distribution Log'!$AI$7:$AI$46,"Q6")),"")</f>
        <v/>
      </c>
      <c r="AB81" s="72" t="str">
        <f aca="false">IFERROR(IF((SUMIFS('10. Activity Data Log'!$U$7:$U$46,'10. Activity Data Log'!$C$7:$C$46,$D81,'10. Activity Data Log'!$AD$7:$AD$46,"Q7")+SUMIFS('11. Distribution Log'!$W$7:$W$46,'11. Distribution Log'!$C$7:$C$46,$D81,'11. Distribution Log'!$AI$7:$AI$46,"Q7"))=0,"",SUMIFS('10. Activity Data Log'!$U$7:$U$46,'10. Activity Data Log'!$C$7:$C$46,$D81,'10. Activity Data Log'!$AD$7:$AD$46,"Q7")+SUMIFS('11. Distribution Log'!$W$7:$W$46,'11. Distribution Log'!$C$7:$C$46,$D81,'11. Distribution Log'!$AI$7:$AI$46,"Q7")),"")</f>
        <v/>
      </c>
      <c r="AC81" s="72" t="str">
        <f aca="false">IFERROR(IF((SUMIFS('10. Activity Data Log'!$U$7:$U$46,'10. Activity Data Log'!$C$7:$C$46,$D81,'10. Activity Data Log'!$AD$7:$AD$46,"Q8")+SUMIFS('11. Distribution Log'!$W$7:$W$46,'11. Distribution Log'!$C$7:$C$46,$D81,'11. Distribution Log'!$AI$7:$AI$46,"Q8"))=0,"",SUMIFS('10. Activity Data Log'!$U$7:$U$46,'10. Activity Data Log'!$C$7:$C$46,$D81,'10. Activity Data Log'!$AD$7:$AD$46,"Q8")+SUMIFS('11. Distribution Log'!$W$7:$W$46,'11. Distribution Log'!$C$7:$C$46,$D81,'11. Distribution Log'!$AI$7:$AI$46,"Q8")),"")</f>
        <v/>
      </c>
      <c r="AD81" s="68" t="str">
        <f aca="false">IFERROR(IF(SUMPRODUCT((COLUMN(N81:U81)-COLUMN(N81)+1&lt;='7. IPTT'!$C$3)*N(N81:U81))=0,"",SUMPRODUCT((COLUMN(V81:AC81)-COLUMN(V81)+1&lt;='7. IPTT'!$C$3)*N(V81:AC81))/SUMPRODUCT((COLUMN(N81:U81)-COLUMN(N81)+1&lt;='7. IPTT'!$C$3)*N(N81:U81))),"")</f>
        <v/>
      </c>
      <c r="AE81" s="22" t="str">
        <f aca="false">IFERROR(IF(AD81="","No data yet",IF(AD81&gt;=0.9,"On Track",IF(AD81&gt;=0.7,"Slightly Behind","Behind"))),"")</f>
        <v>No data yet</v>
      </c>
      <c r="AF81" s="16" t="s">
        <v>1388</v>
      </c>
      <c r="AG81" s="16" t="s">
        <v>1389</v>
      </c>
      <c r="AH81" s="73" t="n">
        <v>174890.55</v>
      </c>
      <c r="AI81" s="74" t="n">
        <v>25009348.65</v>
      </c>
      <c r="AJ81" s="16" t="str">
        <f aca="false">IFERROR(IF(COUNTIF('10. Activity Data Log'!$C$7:$C$46,$D81)=0,"No Data Log entries yet",COUNTIF('10. Activity Data Log'!$C$7:$C$46,$D81)&amp;" entries logged, avg "&amp;TEXT(AVERAGEIF('10. Activity Data Log'!$C$7:$C$46,$D81,'10. Activity Data Log'!$AB$7:$AB$46),"0%")&amp;" of target"),"")</f>
        <v>No Data Log entries yet</v>
      </c>
      <c r="AK81" s="16" t="str">
        <f aca="false">IFERROR(IF(OR(J81="",J81="-"),"During [reporting period], FIVDB delivered: "&amp;E81&amp;" (target: "&amp;I81&amp;"). Source: "&amp;AM81&amp;".","During [reporting period], FIVDB delivered: "&amp;E81&amp;" (target: "&amp;I81&amp;"), contributing to indicator '"&amp;IFERROR(INDEX('7. IPTT'!$F$15:$F$37,MATCH(IF(ISNUMBER(FIND(",",J81)),TRIM(LEFT(J81,FIND(",",J81)-1)),TRIM(J81)),'7. IPTT'!$C$15:$C$37,0)),"")&amp;"' ("&amp;J81&amp;"). Source: "&amp;AM81&amp;"."),"During [reporting period], FIVDB delivered: "&amp;E81&amp;".")</f>
        <v>During [reporting period], FIVDB delivered: Conduct staff orientation and induction (project kick-off) for newly recruited FIVDB staff. (target: All newly recruited staff oriented). Source: Annex 18 Workplan, Row 150 (Staff Orientation and Kick off).</v>
      </c>
      <c r="AL81" s="16" t="s">
        <v>1452</v>
      </c>
      <c r="AM81" s="16" t="s">
        <v>1453</v>
      </c>
      <c r="AN81" s="22" t="s">
        <v>658</v>
      </c>
      <c r="AO81" s="16" t="s">
        <v>1454</v>
      </c>
    </row>
    <row r="82" customFormat="false" ht="99" hidden="false" customHeight="true" outlineLevel="0" collapsed="false">
      <c r="B82" s="22" t="s">
        <v>1381</v>
      </c>
      <c r="C82" s="22" t="s">
        <v>1382</v>
      </c>
      <c r="D82" s="22" t="s">
        <v>1455</v>
      </c>
      <c r="E82" s="16" t="s">
        <v>1456</v>
      </c>
      <c r="F82" s="16"/>
      <c r="G82" s="16" t="s">
        <v>1243</v>
      </c>
      <c r="H82" s="16" t="s">
        <v>1457</v>
      </c>
      <c r="I82" s="16" t="s">
        <v>1458</v>
      </c>
      <c r="J82" s="22" t="s">
        <v>543</v>
      </c>
      <c r="K82" s="16" t="s">
        <v>1245</v>
      </c>
      <c r="L82" s="22" t="s">
        <v>1106</v>
      </c>
      <c r="M82" s="22" t="s">
        <v>1405</v>
      </c>
      <c r="N82" s="49"/>
      <c r="O82" s="49"/>
      <c r="P82" s="49"/>
      <c r="Q82" s="49"/>
      <c r="R82" s="49"/>
      <c r="S82" s="49"/>
      <c r="T82" s="49"/>
      <c r="U82" s="49"/>
      <c r="V82" s="72" t="str">
        <f aca="false">IFERROR(IF((SUMIFS('10. Activity Data Log'!$U$7:$U$46,'10. Activity Data Log'!$C$7:$C$46,$D82,'10. Activity Data Log'!$AD$7:$AD$46,"Q1")+SUMIFS('11. Distribution Log'!$W$7:$W$46,'11. Distribution Log'!$C$7:$C$46,$D82,'11. Distribution Log'!$AI$7:$AI$46,"Q1"))=0,"",SUMIFS('10. Activity Data Log'!$U$7:$U$46,'10. Activity Data Log'!$C$7:$C$46,$D82,'10. Activity Data Log'!$AD$7:$AD$46,"Q1")+SUMIFS('11. Distribution Log'!$W$7:$W$46,'11. Distribution Log'!$C$7:$C$46,$D82,'11. Distribution Log'!$AI$7:$AI$46,"Q1")),"")</f>
        <v/>
      </c>
      <c r="W82" s="72" t="str">
        <f aca="false">IFERROR(IF((SUMIFS('10. Activity Data Log'!$U$7:$U$46,'10. Activity Data Log'!$C$7:$C$46,$D82,'10. Activity Data Log'!$AD$7:$AD$46,"Q2")+SUMIFS('11. Distribution Log'!$W$7:$W$46,'11. Distribution Log'!$C$7:$C$46,$D82,'11. Distribution Log'!$AI$7:$AI$46,"Q2"))=0,"",SUMIFS('10. Activity Data Log'!$U$7:$U$46,'10. Activity Data Log'!$C$7:$C$46,$D82,'10. Activity Data Log'!$AD$7:$AD$46,"Q2")+SUMIFS('11. Distribution Log'!$W$7:$W$46,'11. Distribution Log'!$C$7:$C$46,$D82,'11. Distribution Log'!$AI$7:$AI$46,"Q2")),"")</f>
        <v/>
      </c>
      <c r="X82" s="72" t="str">
        <f aca="false">IFERROR(IF((SUMIFS('10. Activity Data Log'!$U$7:$U$46,'10. Activity Data Log'!$C$7:$C$46,$D82,'10. Activity Data Log'!$AD$7:$AD$46,"Q3")+SUMIFS('11. Distribution Log'!$W$7:$W$46,'11. Distribution Log'!$C$7:$C$46,$D82,'11. Distribution Log'!$AI$7:$AI$46,"Q3"))=0,"",SUMIFS('10. Activity Data Log'!$U$7:$U$46,'10. Activity Data Log'!$C$7:$C$46,$D82,'10. Activity Data Log'!$AD$7:$AD$46,"Q3")+SUMIFS('11. Distribution Log'!$W$7:$W$46,'11. Distribution Log'!$C$7:$C$46,$D82,'11. Distribution Log'!$AI$7:$AI$46,"Q3")),"")</f>
        <v/>
      </c>
      <c r="Y82" s="72" t="str">
        <f aca="false">IFERROR(IF((SUMIFS('10. Activity Data Log'!$U$7:$U$46,'10. Activity Data Log'!$C$7:$C$46,$D82,'10. Activity Data Log'!$AD$7:$AD$46,"Q4")+SUMIFS('11. Distribution Log'!$W$7:$W$46,'11. Distribution Log'!$C$7:$C$46,$D82,'11. Distribution Log'!$AI$7:$AI$46,"Q4"))=0,"",SUMIFS('10. Activity Data Log'!$U$7:$U$46,'10. Activity Data Log'!$C$7:$C$46,$D82,'10. Activity Data Log'!$AD$7:$AD$46,"Q4")+SUMIFS('11. Distribution Log'!$W$7:$W$46,'11. Distribution Log'!$C$7:$C$46,$D82,'11. Distribution Log'!$AI$7:$AI$46,"Q4")),"")</f>
        <v/>
      </c>
      <c r="Z82" s="72" t="str">
        <f aca="false">IFERROR(IF((SUMIFS('10. Activity Data Log'!$U$7:$U$46,'10. Activity Data Log'!$C$7:$C$46,$D82,'10. Activity Data Log'!$AD$7:$AD$46,"Q5")+SUMIFS('11. Distribution Log'!$W$7:$W$46,'11. Distribution Log'!$C$7:$C$46,$D82,'11. Distribution Log'!$AI$7:$AI$46,"Q5"))=0,"",SUMIFS('10. Activity Data Log'!$U$7:$U$46,'10. Activity Data Log'!$C$7:$C$46,$D82,'10. Activity Data Log'!$AD$7:$AD$46,"Q5")+SUMIFS('11. Distribution Log'!$W$7:$W$46,'11. Distribution Log'!$C$7:$C$46,$D82,'11. Distribution Log'!$AI$7:$AI$46,"Q5")),"")</f>
        <v/>
      </c>
      <c r="AA82" s="72" t="str">
        <f aca="false">IFERROR(IF((SUMIFS('10. Activity Data Log'!$U$7:$U$46,'10. Activity Data Log'!$C$7:$C$46,$D82,'10. Activity Data Log'!$AD$7:$AD$46,"Q6")+SUMIFS('11. Distribution Log'!$W$7:$W$46,'11. Distribution Log'!$C$7:$C$46,$D82,'11. Distribution Log'!$AI$7:$AI$46,"Q6"))=0,"",SUMIFS('10. Activity Data Log'!$U$7:$U$46,'10. Activity Data Log'!$C$7:$C$46,$D82,'10. Activity Data Log'!$AD$7:$AD$46,"Q6")+SUMIFS('11. Distribution Log'!$W$7:$W$46,'11. Distribution Log'!$C$7:$C$46,$D82,'11. Distribution Log'!$AI$7:$AI$46,"Q6")),"")</f>
        <v/>
      </c>
      <c r="AB82" s="72" t="str">
        <f aca="false">IFERROR(IF((SUMIFS('10. Activity Data Log'!$U$7:$U$46,'10. Activity Data Log'!$C$7:$C$46,$D82,'10. Activity Data Log'!$AD$7:$AD$46,"Q7")+SUMIFS('11. Distribution Log'!$W$7:$W$46,'11. Distribution Log'!$C$7:$C$46,$D82,'11. Distribution Log'!$AI$7:$AI$46,"Q7"))=0,"",SUMIFS('10. Activity Data Log'!$U$7:$U$46,'10. Activity Data Log'!$C$7:$C$46,$D82,'10. Activity Data Log'!$AD$7:$AD$46,"Q7")+SUMIFS('11. Distribution Log'!$W$7:$W$46,'11. Distribution Log'!$C$7:$C$46,$D82,'11. Distribution Log'!$AI$7:$AI$46,"Q7")),"")</f>
        <v/>
      </c>
      <c r="AC82" s="72" t="str">
        <f aca="false">IFERROR(IF((SUMIFS('10. Activity Data Log'!$U$7:$U$46,'10. Activity Data Log'!$C$7:$C$46,$D82,'10. Activity Data Log'!$AD$7:$AD$46,"Q8")+SUMIFS('11. Distribution Log'!$W$7:$W$46,'11. Distribution Log'!$C$7:$C$46,$D82,'11. Distribution Log'!$AI$7:$AI$46,"Q8"))=0,"",SUMIFS('10. Activity Data Log'!$U$7:$U$46,'10. Activity Data Log'!$C$7:$C$46,$D82,'10. Activity Data Log'!$AD$7:$AD$46,"Q8")+SUMIFS('11. Distribution Log'!$W$7:$W$46,'11. Distribution Log'!$C$7:$C$46,$D82,'11. Distribution Log'!$AI$7:$AI$46,"Q8")),"")</f>
        <v/>
      </c>
      <c r="AD82" s="68" t="str">
        <f aca="false">IFERROR(IF(SUMPRODUCT((COLUMN(N82:U82)-COLUMN(N82)+1&lt;='7. IPTT'!$C$3)*N(N82:U82))=0,"",SUMPRODUCT((COLUMN(V82:AC82)-COLUMN(V82)+1&lt;='7. IPTT'!$C$3)*N(V82:AC82))/SUMPRODUCT((COLUMN(N82:U82)-COLUMN(N82)+1&lt;='7. IPTT'!$C$3)*N(N82:U82))),"")</f>
        <v/>
      </c>
      <c r="AE82" s="22" t="str">
        <f aca="false">IFERROR(IF(AD82="","No data yet",IF(AD82&gt;=0.9,"On Track",IF(AD82&gt;=0.7,"Slightly Behind","Behind"))),"")</f>
        <v>No data yet</v>
      </c>
      <c r="AF82" s="16" t="s">
        <v>1459</v>
      </c>
      <c r="AG82" s="16" t="s">
        <v>1389</v>
      </c>
      <c r="AH82" s="73" t="n">
        <v>174890.55</v>
      </c>
      <c r="AI82" s="74" t="n">
        <v>25009348.65</v>
      </c>
      <c r="AJ82" s="16" t="str">
        <f aca="false">IFERROR(IF(COUNTIF('10. Activity Data Log'!$C$7:$C$46,$D82)=0,"No Data Log entries yet",COUNTIF('10. Activity Data Log'!$C$7:$C$46,$D82)&amp;" entries logged, avg "&amp;TEXT(AVERAGEIF('10. Activity Data Log'!$C$7:$C$46,$D82,'10. Activity Data Log'!$AB$7:$AB$46),"0%")&amp;" of target"),"")</f>
        <v>No Data Log entries yet</v>
      </c>
      <c r="AK82" s="16" t="str">
        <f aca="false">IFERROR(IF(OR(J82="",J82="-"),"During [reporting period], FIVDB delivered: "&amp;E82&amp;" (target: "&amp;I82&amp;"). Source: "&amp;AM82&amp;".","During [reporting period], FIVDB delivered: "&amp;E82&amp;" (target: "&amp;I82&amp;"), contributing to indicator '"&amp;IFERROR(INDEX('7. IPTT'!$F$15:$F$37,MATCH(IF(ISNUMBER(FIND(",",J82)),TRIM(LEFT(J82,FIND(",",J82)-1)),TRIM(J82)),'7. IPTT'!$C$15:$C$37,0)),"")&amp;"' ("&amp;J82&amp;"). Source: "&amp;AM82&amp;"."),"During [reporting period], FIVDB delivered: "&amp;E82&amp;".")</f>
        <v>During [reporting period], FIVDB delivered: Participate in the project inception meeting with government stakeholders at union, upazila, district and national level. (target: Inception meeting(s) held). Source: Annex 18 Workplan, Row 152 (Project inception meeting with government stakeholders).</v>
      </c>
      <c r="AL82" s="16" t="s">
        <v>1460</v>
      </c>
      <c r="AM82" s="16" t="s">
        <v>1461</v>
      </c>
      <c r="AN82" s="22" t="s">
        <v>658</v>
      </c>
      <c r="AO82" s="16" t="s">
        <v>1462</v>
      </c>
    </row>
    <row r="83" customFormat="false" ht="99" hidden="false" customHeight="true" outlineLevel="0" collapsed="false">
      <c r="B83" s="22" t="s">
        <v>1381</v>
      </c>
      <c r="C83" s="22" t="s">
        <v>1382</v>
      </c>
      <c r="D83" s="22" t="s">
        <v>1463</v>
      </c>
      <c r="E83" s="16" t="s">
        <v>1464</v>
      </c>
      <c r="F83" s="16"/>
      <c r="G83" s="16" t="s">
        <v>1194</v>
      </c>
      <c r="H83" s="16" t="s">
        <v>1403</v>
      </c>
      <c r="I83" s="16" t="s">
        <v>1465</v>
      </c>
      <c r="J83" s="22" t="s">
        <v>543</v>
      </c>
      <c r="K83" s="16" t="s">
        <v>1245</v>
      </c>
      <c r="L83" s="22" t="s">
        <v>1106</v>
      </c>
      <c r="M83" s="22" t="s">
        <v>1466</v>
      </c>
      <c r="N83" s="49"/>
      <c r="O83" s="49"/>
      <c r="P83" s="49"/>
      <c r="Q83" s="49"/>
      <c r="R83" s="49"/>
      <c r="S83" s="49"/>
      <c r="T83" s="49"/>
      <c r="U83" s="49"/>
      <c r="V83" s="72" t="str">
        <f aca="false">IFERROR(IF((SUMIFS('10. Activity Data Log'!$U$7:$U$46,'10. Activity Data Log'!$C$7:$C$46,$D83,'10. Activity Data Log'!$AD$7:$AD$46,"Q1")+SUMIFS('11. Distribution Log'!$W$7:$W$46,'11. Distribution Log'!$C$7:$C$46,$D83,'11. Distribution Log'!$AI$7:$AI$46,"Q1"))=0,"",SUMIFS('10. Activity Data Log'!$U$7:$U$46,'10. Activity Data Log'!$C$7:$C$46,$D83,'10. Activity Data Log'!$AD$7:$AD$46,"Q1")+SUMIFS('11. Distribution Log'!$W$7:$W$46,'11. Distribution Log'!$C$7:$C$46,$D83,'11. Distribution Log'!$AI$7:$AI$46,"Q1")),"")</f>
        <v/>
      </c>
      <c r="W83" s="72" t="str">
        <f aca="false">IFERROR(IF((SUMIFS('10. Activity Data Log'!$U$7:$U$46,'10. Activity Data Log'!$C$7:$C$46,$D83,'10. Activity Data Log'!$AD$7:$AD$46,"Q2")+SUMIFS('11. Distribution Log'!$W$7:$W$46,'11. Distribution Log'!$C$7:$C$46,$D83,'11. Distribution Log'!$AI$7:$AI$46,"Q2"))=0,"",SUMIFS('10. Activity Data Log'!$U$7:$U$46,'10. Activity Data Log'!$C$7:$C$46,$D83,'10. Activity Data Log'!$AD$7:$AD$46,"Q2")+SUMIFS('11. Distribution Log'!$W$7:$W$46,'11. Distribution Log'!$C$7:$C$46,$D83,'11. Distribution Log'!$AI$7:$AI$46,"Q2")),"")</f>
        <v/>
      </c>
      <c r="X83" s="72" t="str">
        <f aca="false">IFERROR(IF((SUMIFS('10. Activity Data Log'!$U$7:$U$46,'10. Activity Data Log'!$C$7:$C$46,$D83,'10. Activity Data Log'!$AD$7:$AD$46,"Q3")+SUMIFS('11. Distribution Log'!$W$7:$W$46,'11. Distribution Log'!$C$7:$C$46,$D83,'11. Distribution Log'!$AI$7:$AI$46,"Q3"))=0,"",SUMIFS('10. Activity Data Log'!$U$7:$U$46,'10. Activity Data Log'!$C$7:$C$46,$D83,'10. Activity Data Log'!$AD$7:$AD$46,"Q3")+SUMIFS('11. Distribution Log'!$W$7:$W$46,'11. Distribution Log'!$C$7:$C$46,$D83,'11. Distribution Log'!$AI$7:$AI$46,"Q3")),"")</f>
        <v/>
      </c>
      <c r="Y83" s="72" t="str">
        <f aca="false">IFERROR(IF((SUMIFS('10. Activity Data Log'!$U$7:$U$46,'10. Activity Data Log'!$C$7:$C$46,$D83,'10. Activity Data Log'!$AD$7:$AD$46,"Q4")+SUMIFS('11. Distribution Log'!$W$7:$W$46,'11. Distribution Log'!$C$7:$C$46,$D83,'11. Distribution Log'!$AI$7:$AI$46,"Q4"))=0,"",SUMIFS('10. Activity Data Log'!$U$7:$U$46,'10. Activity Data Log'!$C$7:$C$46,$D83,'10. Activity Data Log'!$AD$7:$AD$46,"Q4")+SUMIFS('11. Distribution Log'!$W$7:$W$46,'11. Distribution Log'!$C$7:$C$46,$D83,'11. Distribution Log'!$AI$7:$AI$46,"Q4")),"")</f>
        <v/>
      </c>
      <c r="Z83" s="72" t="str">
        <f aca="false">IFERROR(IF((SUMIFS('10. Activity Data Log'!$U$7:$U$46,'10. Activity Data Log'!$C$7:$C$46,$D83,'10. Activity Data Log'!$AD$7:$AD$46,"Q5")+SUMIFS('11. Distribution Log'!$W$7:$W$46,'11. Distribution Log'!$C$7:$C$46,$D83,'11. Distribution Log'!$AI$7:$AI$46,"Q5"))=0,"",SUMIFS('10. Activity Data Log'!$U$7:$U$46,'10. Activity Data Log'!$C$7:$C$46,$D83,'10. Activity Data Log'!$AD$7:$AD$46,"Q5")+SUMIFS('11. Distribution Log'!$W$7:$W$46,'11. Distribution Log'!$C$7:$C$46,$D83,'11. Distribution Log'!$AI$7:$AI$46,"Q5")),"")</f>
        <v/>
      </c>
      <c r="AA83" s="72" t="str">
        <f aca="false">IFERROR(IF((SUMIFS('10. Activity Data Log'!$U$7:$U$46,'10. Activity Data Log'!$C$7:$C$46,$D83,'10. Activity Data Log'!$AD$7:$AD$46,"Q6")+SUMIFS('11. Distribution Log'!$W$7:$W$46,'11. Distribution Log'!$C$7:$C$46,$D83,'11. Distribution Log'!$AI$7:$AI$46,"Q6"))=0,"",SUMIFS('10. Activity Data Log'!$U$7:$U$46,'10. Activity Data Log'!$C$7:$C$46,$D83,'10. Activity Data Log'!$AD$7:$AD$46,"Q6")+SUMIFS('11. Distribution Log'!$W$7:$W$46,'11. Distribution Log'!$C$7:$C$46,$D83,'11. Distribution Log'!$AI$7:$AI$46,"Q6")),"")</f>
        <v/>
      </c>
      <c r="AB83" s="72" t="str">
        <f aca="false">IFERROR(IF((SUMIFS('10. Activity Data Log'!$U$7:$U$46,'10. Activity Data Log'!$C$7:$C$46,$D83,'10. Activity Data Log'!$AD$7:$AD$46,"Q7")+SUMIFS('11. Distribution Log'!$W$7:$W$46,'11. Distribution Log'!$C$7:$C$46,$D83,'11. Distribution Log'!$AI$7:$AI$46,"Q7"))=0,"",SUMIFS('10. Activity Data Log'!$U$7:$U$46,'10. Activity Data Log'!$C$7:$C$46,$D83,'10. Activity Data Log'!$AD$7:$AD$46,"Q7")+SUMIFS('11. Distribution Log'!$W$7:$W$46,'11. Distribution Log'!$C$7:$C$46,$D83,'11. Distribution Log'!$AI$7:$AI$46,"Q7")),"")</f>
        <v/>
      </c>
      <c r="AC83" s="72" t="str">
        <f aca="false">IFERROR(IF((SUMIFS('10. Activity Data Log'!$U$7:$U$46,'10. Activity Data Log'!$C$7:$C$46,$D83,'10. Activity Data Log'!$AD$7:$AD$46,"Q8")+SUMIFS('11. Distribution Log'!$W$7:$W$46,'11. Distribution Log'!$C$7:$C$46,$D83,'11. Distribution Log'!$AI$7:$AI$46,"Q8"))=0,"",SUMIFS('10. Activity Data Log'!$U$7:$U$46,'10. Activity Data Log'!$C$7:$C$46,$D83,'10. Activity Data Log'!$AD$7:$AD$46,"Q8")+SUMIFS('11. Distribution Log'!$W$7:$W$46,'11. Distribution Log'!$C$7:$C$46,$D83,'11. Distribution Log'!$AI$7:$AI$46,"Q8")),"")</f>
        <v/>
      </c>
      <c r="AD83" s="68" t="str">
        <f aca="false">IFERROR(IF(SUMPRODUCT((COLUMN(N83:U83)-COLUMN(N83)+1&lt;='7. IPTT'!$C$3)*N(N83:U83))=0,"",SUMPRODUCT((COLUMN(V83:AC83)-COLUMN(V83)+1&lt;='7. IPTT'!$C$3)*N(V83:AC83))/SUMPRODUCT((COLUMN(N83:U83)-COLUMN(N83)+1&lt;='7. IPTT'!$C$3)*N(N83:U83))),"")</f>
        <v/>
      </c>
      <c r="AE83" s="22" t="str">
        <f aca="false">IFERROR(IF(AD83="","No data yet",IF(AD83&gt;=0.9,"On Track",IF(AD83&gt;=0.7,"Slightly Behind","Behind"))),"")</f>
        <v>No data yet</v>
      </c>
      <c r="AF83" s="16" t="s">
        <v>1430</v>
      </c>
      <c r="AG83" s="16" t="s">
        <v>1389</v>
      </c>
      <c r="AH83" s="73" t="n">
        <v>174890.55</v>
      </c>
      <c r="AI83" s="74" t="n">
        <v>25009348.65</v>
      </c>
      <c r="AJ83" s="16" t="str">
        <f aca="false">IFERROR(IF(COUNTIF('10. Activity Data Log'!$C$7:$C$46,$D83)=0,"No Data Log entries yet",COUNTIF('10. Activity Data Log'!$C$7:$C$46,$D83)&amp;" entries logged, avg "&amp;TEXT(AVERAGEIF('10. Activity Data Log'!$C$7:$C$46,$D83,'10. Activity Data Log'!$AB$7:$AB$46),"0%")&amp;" of target"),"")</f>
        <v>No Data Log entries yet</v>
      </c>
      <c r="AK83" s="16" t="str">
        <f aca="false">IFERROR(IF(OR(J83="",J83="-"),"During [reporting period], FIVDB delivered: "&amp;E83&amp;" (target: "&amp;I83&amp;"). Source: "&amp;AM83&amp;".","During [reporting period], FIVDB delivered: "&amp;E83&amp;" (target: "&amp;I83&amp;"), contributing to indicator '"&amp;IFERROR(INDEX('7. IPTT'!$F$15:$F$37,MATCH(IF(ISNUMBER(FIND(",",J83)),TRIM(LEFT(J83,FIND(",",J83)-1)),TRIM(J83)),'7. IPTT'!$C$15:$C$37,0)),"")&amp;"' ("&amp;J83&amp;"). Source: "&amp;AM83&amp;"."),"During [reporting period], FIVDB delivered: "&amp;E83&amp;".")</f>
        <v>During [reporting period], FIVDB delivered: Participate in the SC-led consortium MEAL Plan workshop (2 days). (target: FIVDB MEAL staff attend). Source: Annex 18 Workplan, Row 154 (SCI-MEAL Plan workshop, 2 days).</v>
      </c>
      <c r="AL83" s="16" t="s">
        <v>1467</v>
      </c>
      <c r="AM83" s="16" t="s">
        <v>1468</v>
      </c>
      <c r="AN83" s="22" t="s">
        <v>181</v>
      </c>
      <c r="AO83" s="16" t="s">
        <v>1469</v>
      </c>
    </row>
    <row r="84" customFormat="false" ht="99" hidden="false" customHeight="true" outlineLevel="0" collapsed="false">
      <c r="B84" s="22" t="s">
        <v>1381</v>
      </c>
      <c r="C84" s="22" t="s">
        <v>1382</v>
      </c>
      <c r="D84" s="22" t="s">
        <v>1001</v>
      </c>
      <c r="E84" s="16" t="s">
        <v>1470</v>
      </c>
      <c r="F84" s="16"/>
      <c r="G84" s="16" t="s">
        <v>1194</v>
      </c>
      <c r="H84" s="16" t="s">
        <v>1103</v>
      </c>
      <c r="I84" s="16" t="s">
        <v>1471</v>
      </c>
      <c r="J84" s="22" t="s">
        <v>1000</v>
      </c>
      <c r="K84" s="16" t="s">
        <v>1472</v>
      </c>
      <c r="L84" s="22" t="s">
        <v>1106</v>
      </c>
      <c r="M84" s="22" t="s">
        <v>1339</v>
      </c>
      <c r="N84" s="49"/>
      <c r="O84" s="49"/>
      <c r="P84" s="49"/>
      <c r="Q84" s="49"/>
      <c r="R84" s="49"/>
      <c r="S84" s="49"/>
      <c r="T84" s="49"/>
      <c r="U84" s="49"/>
      <c r="V84" s="72" t="str">
        <f aca="false">IFERROR(IF((SUMIFS('10. Activity Data Log'!$U$7:$U$46,'10. Activity Data Log'!$C$7:$C$46,$D84,'10. Activity Data Log'!$AD$7:$AD$46,"Q1")+SUMIFS('11. Distribution Log'!$W$7:$W$46,'11. Distribution Log'!$C$7:$C$46,$D84,'11. Distribution Log'!$AI$7:$AI$46,"Q1"))=0,"",SUMIFS('10. Activity Data Log'!$U$7:$U$46,'10. Activity Data Log'!$C$7:$C$46,$D84,'10. Activity Data Log'!$AD$7:$AD$46,"Q1")+SUMIFS('11. Distribution Log'!$W$7:$W$46,'11. Distribution Log'!$C$7:$C$46,$D84,'11. Distribution Log'!$AI$7:$AI$46,"Q1")),"")</f>
        <v/>
      </c>
      <c r="W84" s="72" t="str">
        <f aca="false">IFERROR(IF((SUMIFS('10. Activity Data Log'!$U$7:$U$46,'10. Activity Data Log'!$C$7:$C$46,$D84,'10. Activity Data Log'!$AD$7:$AD$46,"Q2")+SUMIFS('11. Distribution Log'!$W$7:$W$46,'11. Distribution Log'!$C$7:$C$46,$D84,'11. Distribution Log'!$AI$7:$AI$46,"Q2"))=0,"",SUMIFS('10. Activity Data Log'!$U$7:$U$46,'10. Activity Data Log'!$C$7:$C$46,$D84,'10. Activity Data Log'!$AD$7:$AD$46,"Q2")+SUMIFS('11. Distribution Log'!$W$7:$W$46,'11. Distribution Log'!$C$7:$C$46,$D84,'11. Distribution Log'!$AI$7:$AI$46,"Q2")),"")</f>
        <v/>
      </c>
      <c r="X84" s="72" t="str">
        <f aca="false">IFERROR(IF((SUMIFS('10. Activity Data Log'!$U$7:$U$46,'10. Activity Data Log'!$C$7:$C$46,$D84,'10. Activity Data Log'!$AD$7:$AD$46,"Q3")+SUMIFS('11. Distribution Log'!$W$7:$W$46,'11. Distribution Log'!$C$7:$C$46,$D84,'11. Distribution Log'!$AI$7:$AI$46,"Q3"))=0,"",SUMIFS('10. Activity Data Log'!$U$7:$U$46,'10. Activity Data Log'!$C$7:$C$46,$D84,'10. Activity Data Log'!$AD$7:$AD$46,"Q3")+SUMIFS('11. Distribution Log'!$W$7:$W$46,'11. Distribution Log'!$C$7:$C$46,$D84,'11. Distribution Log'!$AI$7:$AI$46,"Q3")),"")</f>
        <v/>
      </c>
      <c r="Y84" s="72" t="str">
        <f aca="false">IFERROR(IF((SUMIFS('10. Activity Data Log'!$U$7:$U$46,'10. Activity Data Log'!$C$7:$C$46,$D84,'10. Activity Data Log'!$AD$7:$AD$46,"Q4")+SUMIFS('11. Distribution Log'!$W$7:$W$46,'11. Distribution Log'!$C$7:$C$46,$D84,'11. Distribution Log'!$AI$7:$AI$46,"Q4"))=0,"",SUMIFS('10. Activity Data Log'!$U$7:$U$46,'10. Activity Data Log'!$C$7:$C$46,$D84,'10. Activity Data Log'!$AD$7:$AD$46,"Q4")+SUMIFS('11. Distribution Log'!$W$7:$W$46,'11. Distribution Log'!$C$7:$C$46,$D84,'11. Distribution Log'!$AI$7:$AI$46,"Q4")),"")</f>
        <v/>
      </c>
      <c r="Z84" s="72" t="str">
        <f aca="false">IFERROR(IF((SUMIFS('10. Activity Data Log'!$U$7:$U$46,'10. Activity Data Log'!$C$7:$C$46,$D84,'10. Activity Data Log'!$AD$7:$AD$46,"Q5")+SUMIFS('11. Distribution Log'!$W$7:$W$46,'11. Distribution Log'!$C$7:$C$46,$D84,'11. Distribution Log'!$AI$7:$AI$46,"Q5"))=0,"",SUMIFS('10. Activity Data Log'!$U$7:$U$46,'10. Activity Data Log'!$C$7:$C$46,$D84,'10. Activity Data Log'!$AD$7:$AD$46,"Q5")+SUMIFS('11. Distribution Log'!$W$7:$W$46,'11. Distribution Log'!$C$7:$C$46,$D84,'11. Distribution Log'!$AI$7:$AI$46,"Q5")),"")</f>
        <v/>
      </c>
      <c r="AA84" s="72" t="str">
        <f aca="false">IFERROR(IF((SUMIFS('10. Activity Data Log'!$U$7:$U$46,'10. Activity Data Log'!$C$7:$C$46,$D84,'10. Activity Data Log'!$AD$7:$AD$46,"Q6")+SUMIFS('11. Distribution Log'!$W$7:$W$46,'11. Distribution Log'!$C$7:$C$46,$D84,'11. Distribution Log'!$AI$7:$AI$46,"Q6"))=0,"",SUMIFS('10. Activity Data Log'!$U$7:$U$46,'10. Activity Data Log'!$C$7:$C$46,$D84,'10. Activity Data Log'!$AD$7:$AD$46,"Q6")+SUMIFS('11. Distribution Log'!$W$7:$W$46,'11. Distribution Log'!$C$7:$C$46,$D84,'11. Distribution Log'!$AI$7:$AI$46,"Q6")),"")</f>
        <v/>
      </c>
      <c r="AB84" s="72" t="str">
        <f aca="false">IFERROR(IF((SUMIFS('10. Activity Data Log'!$U$7:$U$46,'10. Activity Data Log'!$C$7:$C$46,$D84,'10. Activity Data Log'!$AD$7:$AD$46,"Q7")+SUMIFS('11. Distribution Log'!$W$7:$W$46,'11. Distribution Log'!$C$7:$C$46,$D84,'11. Distribution Log'!$AI$7:$AI$46,"Q7"))=0,"",SUMIFS('10. Activity Data Log'!$U$7:$U$46,'10. Activity Data Log'!$C$7:$C$46,$D84,'10. Activity Data Log'!$AD$7:$AD$46,"Q7")+SUMIFS('11. Distribution Log'!$W$7:$W$46,'11. Distribution Log'!$C$7:$C$46,$D84,'11. Distribution Log'!$AI$7:$AI$46,"Q7")),"")</f>
        <v/>
      </c>
      <c r="AC84" s="72" t="str">
        <f aca="false">IFERROR(IF((SUMIFS('10. Activity Data Log'!$U$7:$U$46,'10. Activity Data Log'!$C$7:$C$46,$D84,'10. Activity Data Log'!$AD$7:$AD$46,"Q8")+SUMIFS('11. Distribution Log'!$W$7:$W$46,'11. Distribution Log'!$C$7:$C$46,$D84,'11. Distribution Log'!$AI$7:$AI$46,"Q8"))=0,"",SUMIFS('10. Activity Data Log'!$U$7:$U$46,'10. Activity Data Log'!$C$7:$C$46,$D84,'10. Activity Data Log'!$AD$7:$AD$46,"Q8")+SUMIFS('11. Distribution Log'!$W$7:$W$46,'11. Distribution Log'!$C$7:$C$46,$D84,'11. Distribution Log'!$AI$7:$AI$46,"Q8")),"")</f>
        <v/>
      </c>
      <c r="AD84" s="68" t="str">
        <f aca="false">IFERROR(IF(SUMPRODUCT((COLUMN(N84:U84)-COLUMN(N84)+1&lt;='7. IPTT'!$C$3)*N(N84:U84))=0,"",SUMPRODUCT((COLUMN(V84:AC84)-COLUMN(V84)+1&lt;='7. IPTT'!$C$3)*N(V84:AC84))/SUMPRODUCT((COLUMN(N84:U84)-COLUMN(N84)+1&lt;='7. IPTT'!$C$3)*N(N84:U84))),"")</f>
        <v/>
      </c>
      <c r="AE84" s="22" t="str">
        <f aca="false">IFERROR(IF(AD84="","No data yet",IF(AD84&gt;=0.9,"On Track",IF(AD84&gt;=0.7,"Slightly Behind","Behind"))),"")</f>
        <v>No data yet</v>
      </c>
      <c r="AF84" s="16" t="s">
        <v>1473</v>
      </c>
      <c r="AG84" s="16" t="s">
        <v>1389</v>
      </c>
      <c r="AH84" s="73" t="n">
        <v>174890.55</v>
      </c>
      <c r="AI84" s="74" t="n">
        <v>25009348.65</v>
      </c>
      <c r="AJ84" s="16" t="str">
        <f aca="false">IFERROR(IF(COUNTIF('10. Activity Data Log'!$C$7:$C$46,$D84)=0,"No Data Log entries yet",COUNTIF('10. Activity Data Log'!$C$7:$C$46,$D84)&amp;" entries logged, avg "&amp;TEXT(AVERAGEIF('10. Activity Data Log'!$C$7:$C$46,$D84,'10. Activity Data Log'!$AB$7:$AB$46),"0%")&amp;" of target"),"")</f>
        <v>No Data Log entries yet</v>
      </c>
      <c r="AK84" s="16" t="str">
        <f aca="false">IFERROR(IF(OR(J84="",J84="-"),"During [reporting period], FIVDB delivered: "&amp;E84&amp;" (target: "&amp;I84&amp;"). Source: "&amp;AM84&amp;".","During [reporting period], FIVDB delivered: "&amp;E84&amp;" (target: "&amp;I84&amp;"), contributing to indicator '"&amp;IFERROR(INDEX('7. IPTT'!$F$15:$F$37,MATCH(IF(ISNUMBER(FIND(",",J84)),TRIM(LEFT(J84,FIND(",",J84)-1)),TRIM(J84)),'7. IPTT'!$C$15:$C$37,0)),"")&amp;"' ("&amp;J84&amp;"). Source: "&amp;AM84&amp;"."),"During [reporting period], FIVDB delivered: "&amp;E84&amp;".")</f>
        <v>During [reporting period], FIVDB delivered: Participate in SC-led training on Accountability and Safeguarding for all FIVDB staff and volunteers. (target: All FIVDB staff/volunteers trained), contributing to indicator '% of caseworkers whose knowledge assessment score is at least 70%' (R2-I5). Source: Annex 18 Workplan, Row 157 (SCI-Training on Accountability and Safeguarding).</v>
      </c>
      <c r="AL84" s="16" t="s">
        <v>1474</v>
      </c>
      <c r="AM84" s="16" t="s">
        <v>1475</v>
      </c>
      <c r="AN84" s="22" t="s">
        <v>658</v>
      </c>
      <c r="AO84" s="16" t="s">
        <v>1476</v>
      </c>
    </row>
    <row r="85" customFormat="false" ht="19.5" hidden="false" customHeight="true" outlineLevel="0" collapsed="false">
      <c r="B85" s="66" t="s">
        <v>1477</v>
      </c>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row>
    <row r="86" customFormat="false" ht="99" hidden="false" customHeight="true" outlineLevel="0" collapsed="false">
      <c r="B86" s="22" t="s">
        <v>1478</v>
      </c>
      <c r="C86" s="22" t="s">
        <v>1479</v>
      </c>
      <c r="D86" s="22" t="s">
        <v>1480</v>
      </c>
      <c r="E86" s="16" t="s">
        <v>1481</v>
      </c>
      <c r="F86" s="16"/>
      <c r="G86" s="16" t="s">
        <v>1243</v>
      </c>
      <c r="H86" s="16" t="s">
        <v>1403</v>
      </c>
      <c r="I86" s="16" t="s">
        <v>1482</v>
      </c>
      <c r="J86" s="22" t="s">
        <v>543</v>
      </c>
      <c r="K86" s="16" t="s">
        <v>1245</v>
      </c>
      <c r="L86" s="22" t="s">
        <v>1106</v>
      </c>
      <c r="M86" s="22" t="s">
        <v>1405</v>
      </c>
      <c r="N86" s="49"/>
      <c r="O86" s="49"/>
      <c r="P86" s="49"/>
      <c r="Q86" s="49"/>
      <c r="R86" s="49"/>
      <c r="S86" s="49"/>
      <c r="T86" s="49"/>
      <c r="U86" s="49"/>
      <c r="V86" s="72" t="str">
        <f aca="false">IFERROR(IF((SUMIFS('10. Activity Data Log'!$U$7:$U$46,'10. Activity Data Log'!$C$7:$C$46,$D86,'10. Activity Data Log'!$AD$7:$AD$46,"Q1")+SUMIFS('11. Distribution Log'!$W$7:$W$46,'11. Distribution Log'!$C$7:$C$46,$D86,'11. Distribution Log'!$AI$7:$AI$46,"Q1"))=0,"",SUMIFS('10. Activity Data Log'!$U$7:$U$46,'10. Activity Data Log'!$C$7:$C$46,$D86,'10. Activity Data Log'!$AD$7:$AD$46,"Q1")+SUMIFS('11. Distribution Log'!$W$7:$W$46,'11. Distribution Log'!$C$7:$C$46,$D86,'11. Distribution Log'!$AI$7:$AI$46,"Q1")),"")</f>
        <v/>
      </c>
      <c r="W86" s="72" t="str">
        <f aca="false">IFERROR(IF((SUMIFS('10. Activity Data Log'!$U$7:$U$46,'10. Activity Data Log'!$C$7:$C$46,$D86,'10. Activity Data Log'!$AD$7:$AD$46,"Q2")+SUMIFS('11. Distribution Log'!$W$7:$W$46,'11. Distribution Log'!$C$7:$C$46,$D86,'11. Distribution Log'!$AI$7:$AI$46,"Q2"))=0,"",SUMIFS('10. Activity Data Log'!$U$7:$U$46,'10. Activity Data Log'!$C$7:$C$46,$D86,'10. Activity Data Log'!$AD$7:$AD$46,"Q2")+SUMIFS('11. Distribution Log'!$W$7:$W$46,'11. Distribution Log'!$C$7:$C$46,$D86,'11. Distribution Log'!$AI$7:$AI$46,"Q2")),"")</f>
        <v/>
      </c>
      <c r="X86" s="72" t="str">
        <f aca="false">IFERROR(IF((SUMIFS('10. Activity Data Log'!$U$7:$U$46,'10. Activity Data Log'!$C$7:$C$46,$D86,'10. Activity Data Log'!$AD$7:$AD$46,"Q3")+SUMIFS('11. Distribution Log'!$W$7:$W$46,'11. Distribution Log'!$C$7:$C$46,$D86,'11. Distribution Log'!$AI$7:$AI$46,"Q3"))=0,"",SUMIFS('10. Activity Data Log'!$U$7:$U$46,'10. Activity Data Log'!$C$7:$C$46,$D86,'10. Activity Data Log'!$AD$7:$AD$46,"Q3")+SUMIFS('11. Distribution Log'!$W$7:$W$46,'11. Distribution Log'!$C$7:$C$46,$D86,'11. Distribution Log'!$AI$7:$AI$46,"Q3")),"")</f>
        <v/>
      </c>
      <c r="Y86" s="72" t="str">
        <f aca="false">IFERROR(IF((SUMIFS('10. Activity Data Log'!$U$7:$U$46,'10. Activity Data Log'!$C$7:$C$46,$D86,'10. Activity Data Log'!$AD$7:$AD$46,"Q4")+SUMIFS('11. Distribution Log'!$W$7:$W$46,'11. Distribution Log'!$C$7:$C$46,$D86,'11. Distribution Log'!$AI$7:$AI$46,"Q4"))=0,"",SUMIFS('10. Activity Data Log'!$U$7:$U$46,'10. Activity Data Log'!$C$7:$C$46,$D86,'10. Activity Data Log'!$AD$7:$AD$46,"Q4")+SUMIFS('11. Distribution Log'!$W$7:$W$46,'11. Distribution Log'!$C$7:$C$46,$D86,'11. Distribution Log'!$AI$7:$AI$46,"Q4")),"")</f>
        <v/>
      </c>
      <c r="Z86" s="72" t="str">
        <f aca="false">IFERROR(IF((SUMIFS('10. Activity Data Log'!$U$7:$U$46,'10. Activity Data Log'!$C$7:$C$46,$D86,'10. Activity Data Log'!$AD$7:$AD$46,"Q5")+SUMIFS('11. Distribution Log'!$W$7:$W$46,'11. Distribution Log'!$C$7:$C$46,$D86,'11. Distribution Log'!$AI$7:$AI$46,"Q5"))=0,"",SUMIFS('10. Activity Data Log'!$U$7:$U$46,'10. Activity Data Log'!$C$7:$C$46,$D86,'10. Activity Data Log'!$AD$7:$AD$46,"Q5")+SUMIFS('11. Distribution Log'!$W$7:$W$46,'11. Distribution Log'!$C$7:$C$46,$D86,'11. Distribution Log'!$AI$7:$AI$46,"Q5")),"")</f>
        <v/>
      </c>
      <c r="AA86" s="72" t="str">
        <f aca="false">IFERROR(IF((SUMIFS('10. Activity Data Log'!$U$7:$U$46,'10. Activity Data Log'!$C$7:$C$46,$D86,'10. Activity Data Log'!$AD$7:$AD$46,"Q6")+SUMIFS('11. Distribution Log'!$W$7:$W$46,'11. Distribution Log'!$C$7:$C$46,$D86,'11. Distribution Log'!$AI$7:$AI$46,"Q6"))=0,"",SUMIFS('10. Activity Data Log'!$U$7:$U$46,'10. Activity Data Log'!$C$7:$C$46,$D86,'10. Activity Data Log'!$AD$7:$AD$46,"Q6")+SUMIFS('11. Distribution Log'!$W$7:$W$46,'11. Distribution Log'!$C$7:$C$46,$D86,'11. Distribution Log'!$AI$7:$AI$46,"Q6")),"")</f>
        <v/>
      </c>
      <c r="AB86" s="72" t="str">
        <f aca="false">IFERROR(IF((SUMIFS('10. Activity Data Log'!$U$7:$U$46,'10. Activity Data Log'!$C$7:$C$46,$D86,'10. Activity Data Log'!$AD$7:$AD$46,"Q7")+SUMIFS('11. Distribution Log'!$W$7:$W$46,'11. Distribution Log'!$C$7:$C$46,$D86,'11. Distribution Log'!$AI$7:$AI$46,"Q7"))=0,"",SUMIFS('10. Activity Data Log'!$U$7:$U$46,'10. Activity Data Log'!$C$7:$C$46,$D86,'10. Activity Data Log'!$AD$7:$AD$46,"Q7")+SUMIFS('11. Distribution Log'!$W$7:$W$46,'11. Distribution Log'!$C$7:$C$46,$D86,'11. Distribution Log'!$AI$7:$AI$46,"Q7")),"")</f>
        <v/>
      </c>
      <c r="AC86" s="72" t="str">
        <f aca="false">IFERROR(IF((SUMIFS('10. Activity Data Log'!$U$7:$U$46,'10. Activity Data Log'!$C$7:$C$46,$D86,'10. Activity Data Log'!$AD$7:$AD$46,"Q8")+SUMIFS('11. Distribution Log'!$W$7:$W$46,'11. Distribution Log'!$C$7:$C$46,$D86,'11. Distribution Log'!$AI$7:$AI$46,"Q8"))=0,"",SUMIFS('10. Activity Data Log'!$U$7:$U$46,'10. Activity Data Log'!$C$7:$C$46,$D86,'10. Activity Data Log'!$AD$7:$AD$46,"Q8")+SUMIFS('11. Distribution Log'!$W$7:$W$46,'11. Distribution Log'!$C$7:$C$46,$D86,'11. Distribution Log'!$AI$7:$AI$46,"Q8")),"")</f>
        <v/>
      </c>
      <c r="AD86" s="68" t="str">
        <f aca="false">IFERROR(IF(SUMPRODUCT((COLUMN(N86:U86)-COLUMN(N86)+1&lt;='7. IPTT'!$C$3)*N(N86:U86))=0,"",SUMPRODUCT((COLUMN(V86:AC86)-COLUMN(V86)+1&lt;='7. IPTT'!$C$3)*N(V86:AC86))/SUMPRODUCT((COLUMN(N86:U86)-COLUMN(N86)+1&lt;='7. IPTT'!$C$3)*N(N86:U86))),"")</f>
        <v/>
      </c>
      <c r="AE86" s="22" t="str">
        <f aca="false">IFERROR(IF(AD86="","No data yet",IF(AD86&gt;=0.9,"On Track",IF(AD86&gt;=0.7,"Slightly Behind","Behind"))),"")</f>
        <v>No data yet</v>
      </c>
      <c r="AF86" s="16" t="s">
        <v>1406</v>
      </c>
      <c r="AG86" s="16" t="s">
        <v>1483</v>
      </c>
      <c r="AH86" s="73" t="n">
        <v>136467.47</v>
      </c>
      <c r="AI86" s="74" t="n">
        <v>19514848.21</v>
      </c>
      <c r="AJ86" s="16" t="str">
        <f aca="false">IFERROR(IF(COUNTIF('10. Activity Data Log'!$C$7:$C$46,$D86)=0,"No Data Log entries yet",COUNTIF('10. Activity Data Log'!$C$7:$C$46,$D86)&amp;" entries logged, avg "&amp;TEXT(AVERAGEIF('10. Activity Data Log'!$C$7:$C$46,$D86,'10. Activity Data Log'!$AB$7:$AB$46),"0%")&amp;" of target"),"")</f>
        <v>No Data Log entries yet</v>
      </c>
      <c r="AK86" s="16" t="str">
        <f aca="false">IFERROR(IF(OR(J86="",J86="-"),"During [reporting period], FIVDB delivered: "&amp;E86&amp;" (target: "&amp;I86&amp;"). Source: "&amp;AM86&amp;".","During [reporting period], FIVDB delivered: "&amp;E86&amp;" (target: "&amp;I86&amp;"), contributing to indicator '"&amp;IFERROR(INDEX('7. IPTT'!$F$15:$F$37,MATCH(IF(ISNUMBER(FIND(",",J86)),TRIM(LEFT(J86,FIND(",",J86)-1)),TRIM(J86)),'7. IPTT'!$C$15:$C$37,0)),"")&amp;"' ("&amp;J86&amp;"). Source: "&amp;AM86&amp;"."),"During [reporting period], FIVDB delivered: "&amp;E86&amp;".")</f>
        <v>During [reporting period], FIVDB delivered: Attend regular coordination meetings with implementing partners (PIB, SC, JCF, BTS, PHD) and other stakeholders. (target: Regular attendance throughout). Source: Annex 18 Workplan, Row 155 (Regular coordination meeting with implementing partners &amp; other stakeholders).</v>
      </c>
      <c r="AL86" s="16" t="s">
        <v>1460</v>
      </c>
      <c r="AM86" s="16" t="s">
        <v>1484</v>
      </c>
      <c r="AN86" s="22" t="s">
        <v>658</v>
      </c>
      <c r="AO86" s="16" t="s">
        <v>1485</v>
      </c>
    </row>
    <row r="87" customFormat="false" ht="99" hidden="false" customHeight="true" outlineLevel="0" collapsed="false">
      <c r="B87" s="22" t="s">
        <v>1478</v>
      </c>
      <c r="C87" s="22" t="s">
        <v>1479</v>
      </c>
      <c r="D87" s="22" t="s">
        <v>1486</v>
      </c>
      <c r="E87" s="16" t="s">
        <v>1487</v>
      </c>
      <c r="F87" s="16"/>
      <c r="G87" s="16" t="s">
        <v>1302</v>
      </c>
      <c r="H87" s="16" t="s">
        <v>1103</v>
      </c>
      <c r="I87" s="16" t="s">
        <v>1488</v>
      </c>
      <c r="J87" s="22" t="s">
        <v>1421</v>
      </c>
      <c r="K87" s="16" t="s">
        <v>1422</v>
      </c>
      <c r="L87" s="22" t="s">
        <v>1106</v>
      </c>
      <c r="M87" s="22" t="s">
        <v>1423</v>
      </c>
      <c r="N87" s="49"/>
      <c r="O87" s="49"/>
      <c r="P87" s="49"/>
      <c r="Q87" s="49"/>
      <c r="R87" s="49"/>
      <c r="S87" s="49"/>
      <c r="T87" s="49"/>
      <c r="U87" s="49"/>
      <c r="V87" s="72" t="str">
        <f aca="false">IFERROR(IF((SUMIFS('10. Activity Data Log'!$U$7:$U$46,'10. Activity Data Log'!$C$7:$C$46,$D87,'10. Activity Data Log'!$AD$7:$AD$46,"Q1")+SUMIFS('11. Distribution Log'!$W$7:$W$46,'11. Distribution Log'!$C$7:$C$46,$D87,'11. Distribution Log'!$AI$7:$AI$46,"Q1"))=0,"",SUMIFS('10. Activity Data Log'!$U$7:$U$46,'10. Activity Data Log'!$C$7:$C$46,$D87,'10. Activity Data Log'!$AD$7:$AD$46,"Q1")+SUMIFS('11. Distribution Log'!$W$7:$W$46,'11. Distribution Log'!$C$7:$C$46,$D87,'11. Distribution Log'!$AI$7:$AI$46,"Q1")),"")</f>
        <v/>
      </c>
      <c r="W87" s="72" t="str">
        <f aca="false">IFERROR(IF((SUMIFS('10. Activity Data Log'!$U$7:$U$46,'10. Activity Data Log'!$C$7:$C$46,$D87,'10. Activity Data Log'!$AD$7:$AD$46,"Q2")+SUMIFS('11. Distribution Log'!$W$7:$W$46,'11. Distribution Log'!$C$7:$C$46,$D87,'11. Distribution Log'!$AI$7:$AI$46,"Q2"))=0,"",SUMIFS('10. Activity Data Log'!$U$7:$U$46,'10. Activity Data Log'!$C$7:$C$46,$D87,'10. Activity Data Log'!$AD$7:$AD$46,"Q2")+SUMIFS('11. Distribution Log'!$W$7:$W$46,'11. Distribution Log'!$C$7:$C$46,$D87,'11. Distribution Log'!$AI$7:$AI$46,"Q2")),"")</f>
        <v/>
      </c>
      <c r="X87" s="72" t="str">
        <f aca="false">IFERROR(IF((SUMIFS('10. Activity Data Log'!$U$7:$U$46,'10. Activity Data Log'!$C$7:$C$46,$D87,'10. Activity Data Log'!$AD$7:$AD$46,"Q3")+SUMIFS('11. Distribution Log'!$W$7:$W$46,'11. Distribution Log'!$C$7:$C$46,$D87,'11. Distribution Log'!$AI$7:$AI$46,"Q3"))=0,"",SUMIFS('10. Activity Data Log'!$U$7:$U$46,'10. Activity Data Log'!$C$7:$C$46,$D87,'10. Activity Data Log'!$AD$7:$AD$46,"Q3")+SUMIFS('11. Distribution Log'!$W$7:$W$46,'11. Distribution Log'!$C$7:$C$46,$D87,'11. Distribution Log'!$AI$7:$AI$46,"Q3")),"")</f>
        <v/>
      </c>
      <c r="Y87" s="72" t="str">
        <f aca="false">IFERROR(IF((SUMIFS('10. Activity Data Log'!$U$7:$U$46,'10. Activity Data Log'!$C$7:$C$46,$D87,'10. Activity Data Log'!$AD$7:$AD$46,"Q4")+SUMIFS('11. Distribution Log'!$W$7:$W$46,'11. Distribution Log'!$C$7:$C$46,$D87,'11. Distribution Log'!$AI$7:$AI$46,"Q4"))=0,"",SUMIFS('10. Activity Data Log'!$U$7:$U$46,'10. Activity Data Log'!$C$7:$C$46,$D87,'10. Activity Data Log'!$AD$7:$AD$46,"Q4")+SUMIFS('11. Distribution Log'!$W$7:$W$46,'11. Distribution Log'!$C$7:$C$46,$D87,'11. Distribution Log'!$AI$7:$AI$46,"Q4")),"")</f>
        <v/>
      </c>
      <c r="Z87" s="72" t="str">
        <f aca="false">IFERROR(IF((SUMIFS('10. Activity Data Log'!$U$7:$U$46,'10. Activity Data Log'!$C$7:$C$46,$D87,'10. Activity Data Log'!$AD$7:$AD$46,"Q5")+SUMIFS('11. Distribution Log'!$W$7:$W$46,'11. Distribution Log'!$C$7:$C$46,$D87,'11. Distribution Log'!$AI$7:$AI$46,"Q5"))=0,"",SUMIFS('10. Activity Data Log'!$U$7:$U$46,'10. Activity Data Log'!$C$7:$C$46,$D87,'10. Activity Data Log'!$AD$7:$AD$46,"Q5")+SUMIFS('11. Distribution Log'!$W$7:$W$46,'11. Distribution Log'!$C$7:$C$46,$D87,'11. Distribution Log'!$AI$7:$AI$46,"Q5")),"")</f>
        <v/>
      </c>
      <c r="AA87" s="72" t="str">
        <f aca="false">IFERROR(IF((SUMIFS('10. Activity Data Log'!$U$7:$U$46,'10. Activity Data Log'!$C$7:$C$46,$D87,'10. Activity Data Log'!$AD$7:$AD$46,"Q6")+SUMIFS('11. Distribution Log'!$W$7:$W$46,'11. Distribution Log'!$C$7:$C$46,$D87,'11. Distribution Log'!$AI$7:$AI$46,"Q6"))=0,"",SUMIFS('10. Activity Data Log'!$U$7:$U$46,'10. Activity Data Log'!$C$7:$C$46,$D87,'10. Activity Data Log'!$AD$7:$AD$46,"Q6")+SUMIFS('11. Distribution Log'!$W$7:$W$46,'11. Distribution Log'!$C$7:$C$46,$D87,'11. Distribution Log'!$AI$7:$AI$46,"Q6")),"")</f>
        <v/>
      </c>
      <c r="AB87" s="72" t="str">
        <f aca="false">IFERROR(IF((SUMIFS('10. Activity Data Log'!$U$7:$U$46,'10. Activity Data Log'!$C$7:$C$46,$D87,'10. Activity Data Log'!$AD$7:$AD$46,"Q7")+SUMIFS('11. Distribution Log'!$W$7:$W$46,'11. Distribution Log'!$C$7:$C$46,$D87,'11. Distribution Log'!$AI$7:$AI$46,"Q7"))=0,"",SUMIFS('10. Activity Data Log'!$U$7:$U$46,'10. Activity Data Log'!$C$7:$C$46,$D87,'10. Activity Data Log'!$AD$7:$AD$46,"Q7")+SUMIFS('11. Distribution Log'!$W$7:$W$46,'11. Distribution Log'!$C$7:$C$46,$D87,'11. Distribution Log'!$AI$7:$AI$46,"Q7")),"")</f>
        <v/>
      </c>
      <c r="AC87" s="72" t="str">
        <f aca="false">IFERROR(IF((SUMIFS('10. Activity Data Log'!$U$7:$U$46,'10. Activity Data Log'!$C$7:$C$46,$D87,'10. Activity Data Log'!$AD$7:$AD$46,"Q8")+SUMIFS('11. Distribution Log'!$W$7:$W$46,'11. Distribution Log'!$C$7:$C$46,$D87,'11. Distribution Log'!$AI$7:$AI$46,"Q8"))=0,"",SUMIFS('10. Activity Data Log'!$U$7:$U$46,'10. Activity Data Log'!$C$7:$C$46,$D87,'10. Activity Data Log'!$AD$7:$AD$46,"Q8")+SUMIFS('11. Distribution Log'!$W$7:$W$46,'11. Distribution Log'!$C$7:$C$46,$D87,'11. Distribution Log'!$AI$7:$AI$46,"Q8")),"")</f>
        <v/>
      </c>
      <c r="AD87" s="68" t="str">
        <f aca="false">IFERROR(IF(SUMPRODUCT((COLUMN(N87:U87)-COLUMN(N87)+1&lt;='7. IPTT'!$C$3)*N(N87:U87))=0,"",SUMPRODUCT((COLUMN(V87:AC87)-COLUMN(V87)+1&lt;='7. IPTT'!$C$3)*N(V87:AC87))/SUMPRODUCT((COLUMN(N87:U87)-COLUMN(N87)+1&lt;='7. IPTT'!$C$3)*N(N87:U87))),"")</f>
        <v/>
      </c>
      <c r="AE87" s="22" t="str">
        <f aca="false">IFERROR(IF(AD87="","No data yet",IF(AD87&gt;=0.9,"On Track",IF(AD87&gt;=0.7,"Slightly Behind","Behind"))),"")</f>
        <v>No data yet</v>
      </c>
      <c r="AF87" s="16" t="s">
        <v>1489</v>
      </c>
      <c r="AG87" s="16" t="s">
        <v>1483</v>
      </c>
      <c r="AH87" s="73" t="n">
        <v>136467.47</v>
      </c>
      <c r="AI87" s="74" t="n">
        <v>19514848.21</v>
      </c>
      <c r="AJ87" s="16" t="str">
        <f aca="false">IFERROR(IF(COUNTIF('10. Activity Data Log'!$C$7:$C$46,$D87)=0,"No Data Log entries yet",COUNTIF('10. Activity Data Log'!$C$7:$C$46,$D87)&amp;" entries logged, avg "&amp;TEXT(AVERAGEIF('10. Activity Data Log'!$C$7:$C$46,$D87,'10. Activity Data Log'!$AB$7:$AB$46),"0%")&amp;" of target"),"")</f>
        <v>No Data Log entries yet</v>
      </c>
      <c r="AK87" s="16" t="str">
        <f aca="false">IFERROR(IF(OR(J87="",J87="-"),"During [reporting period], FIVDB delivered: "&amp;E87&amp;" (target: "&amp;I87&amp;"). Source: "&amp;AM87&amp;".","During [reporting period], FIVDB delivered: "&amp;E87&amp;" (target: "&amp;I87&amp;"), contributing to indicator '"&amp;IFERROR(INDEX('7. IPTT'!$F$15:$F$37,MATCH(IF(ISNUMBER(FIND(",",J87)),TRIM(LEFT(J87,FIND(",",J87)-1)),TRIM(J87)),'7. IPTT'!$C$15:$C$37,0)),"")&amp;"' ("&amp;J87&amp;"). Source: "&amp;AM87&amp;"."),"During [reporting period], FIVDB delivered: "&amp;E87&amp;".")</f>
        <v>During [reporting period], FIVDB delivered: Conduct a safeguarding and GBV risk assessment of any prospective site before it is selected/established as a CBLF, GoLF, MPCAC or other facility (venue safety, lighting, privacy, access routes, presence of known risks). (target: All new sites screened before establishment), contributing to indicator 'Number of learning spaces established or restored to minimum standards for safe learning' (R1-I2, R2-I4). Source: Not an explicit Annex 18 row - added per the GBV risk-management and safe-site requirements referenced in the Logframe's Result 1 Indicator 2 definition (minimum standards for safe learning spaces).</v>
      </c>
      <c r="AL87" s="16" t="s">
        <v>1490</v>
      </c>
      <c r="AM87" s="16" t="s">
        <v>1491</v>
      </c>
      <c r="AN87" s="22" t="s">
        <v>649</v>
      </c>
      <c r="AO87" s="16" t="s">
        <v>1492</v>
      </c>
    </row>
    <row r="88" customFormat="false" ht="99" hidden="false" customHeight="true" outlineLevel="0" collapsed="false">
      <c r="B88" s="22" t="s">
        <v>1478</v>
      </c>
      <c r="C88" s="22" t="s">
        <v>1479</v>
      </c>
      <c r="D88" s="22" t="s">
        <v>1169</v>
      </c>
      <c r="E88" s="16" t="s">
        <v>1493</v>
      </c>
      <c r="F88" s="16"/>
      <c r="G88" s="16" t="s">
        <v>1137</v>
      </c>
      <c r="H88" s="16" t="s">
        <v>1103</v>
      </c>
      <c r="I88" s="16" t="s">
        <v>1494</v>
      </c>
      <c r="J88" s="22" t="s">
        <v>543</v>
      </c>
      <c r="K88" s="16" t="s">
        <v>1245</v>
      </c>
      <c r="L88" s="22" t="s">
        <v>1106</v>
      </c>
      <c r="M88" s="22" t="s">
        <v>1323</v>
      </c>
      <c r="N88" s="49"/>
      <c r="O88" s="49"/>
      <c r="P88" s="49"/>
      <c r="Q88" s="49"/>
      <c r="R88" s="49"/>
      <c r="S88" s="49"/>
      <c r="T88" s="49"/>
      <c r="U88" s="49"/>
      <c r="V88" s="72" t="str">
        <f aca="false">IFERROR(IF((SUMIFS('10. Activity Data Log'!$U$7:$U$46,'10. Activity Data Log'!$C$7:$C$46,$D88,'10. Activity Data Log'!$AD$7:$AD$46,"Q1")+SUMIFS('11. Distribution Log'!$W$7:$W$46,'11. Distribution Log'!$C$7:$C$46,$D88,'11. Distribution Log'!$AI$7:$AI$46,"Q1"))=0,"",SUMIFS('10. Activity Data Log'!$U$7:$U$46,'10. Activity Data Log'!$C$7:$C$46,$D88,'10. Activity Data Log'!$AD$7:$AD$46,"Q1")+SUMIFS('11. Distribution Log'!$W$7:$W$46,'11. Distribution Log'!$C$7:$C$46,$D88,'11. Distribution Log'!$AI$7:$AI$46,"Q1")),"")</f>
        <v/>
      </c>
      <c r="W88" s="72" t="str">
        <f aca="false">IFERROR(IF((SUMIFS('10. Activity Data Log'!$U$7:$U$46,'10. Activity Data Log'!$C$7:$C$46,$D88,'10. Activity Data Log'!$AD$7:$AD$46,"Q2")+SUMIFS('11. Distribution Log'!$W$7:$W$46,'11. Distribution Log'!$C$7:$C$46,$D88,'11. Distribution Log'!$AI$7:$AI$46,"Q2"))=0,"",SUMIFS('10. Activity Data Log'!$U$7:$U$46,'10. Activity Data Log'!$C$7:$C$46,$D88,'10. Activity Data Log'!$AD$7:$AD$46,"Q2")+SUMIFS('11. Distribution Log'!$W$7:$W$46,'11. Distribution Log'!$C$7:$C$46,$D88,'11. Distribution Log'!$AI$7:$AI$46,"Q2")),"")</f>
        <v/>
      </c>
      <c r="X88" s="72" t="str">
        <f aca="false">IFERROR(IF((SUMIFS('10. Activity Data Log'!$U$7:$U$46,'10. Activity Data Log'!$C$7:$C$46,$D88,'10. Activity Data Log'!$AD$7:$AD$46,"Q3")+SUMIFS('11. Distribution Log'!$W$7:$W$46,'11. Distribution Log'!$C$7:$C$46,$D88,'11. Distribution Log'!$AI$7:$AI$46,"Q3"))=0,"",SUMIFS('10. Activity Data Log'!$U$7:$U$46,'10. Activity Data Log'!$C$7:$C$46,$D88,'10. Activity Data Log'!$AD$7:$AD$46,"Q3")+SUMIFS('11. Distribution Log'!$W$7:$W$46,'11. Distribution Log'!$C$7:$C$46,$D88,'11. Distribution Log'!$AI$7:$AI$46,"Q3")),"")</f>
        <v/>
      </c>
      <c r="Y88" s="72" t="str">
        <f aca="false">IFERROR(IF((SUMIFS('10. Activity Data Log'!$U$7:$U$46,'10. Activity Data Log'!$C$7:$C$46,$D88,'10. Activity Data Log'!$AD$7:$AD$46,"Q4")+SUMIFS('11. Distribution Log'!$W$7:$W$46,'11. Distribution Log'!$C$7:$C$46,$D88,'11. Distribution Log'!$AI$7:$AI$46,"Q4"))=0,"",SUMIFS('10. Activity Data Log'!$U$7:$U$46,'10. Activity Data Log'!$C$7:$C$46,$D88,'10. Activity Data Log'!$AD$7:$AD$46,"Q4")+SUMIFS('11. Distribution Log'!$W$7:$W$46,'11. Distribution Log'!$C$7:$C$46,$D88,'11. Distribution Log'!$AI$7:$AI$46,"Q4")),"")</f>
        <v/>
      </c>
      <c r="Z88" s="72" t="str">
        <f aca="false">IFERROR(IF((SUMIFS('10. Activity Data Log'!$U$7:$U$46,'10. Activity Data Log'!$C$7:$C$46,$D88,'10. Activity Data Log'!$AD$7:$AD$46,"Q5")+SUMIFS('11. Distribution Log'!$W$7:$W$46,'11. Distribution Log'!$C$7:$C$46,$D88,'11. Distribution Log'!$AI$7:$AI$46,"Q5"))=0,"",SUMIFS('10. Activity Data Log'!$U$7:$U$46,'10. Activity Data Log'!$C$7:$C$46,$D88,'10. Activity Data Log'!$AD$7:$AD$46,"Q5")+SUMIFS('11. Distribution Log'!$W$7:$W$46,'11. Distribution Log'!$C$7:$C$46,$D88,'11. Distribution Log'!$AI$7:$AI$46,"Q5")),"")</f>
        <v/>
      </c>
      <c r="AA88" s="72" t="str">
        <f aca="false">IFERROR(IF((SUMIFS('10. Activity Data Log'!$U$7:$U$46,'10. Activity Data Log'!$C$7:$C$46,$D88,'10. Activity Data Log'!$AD$7:$AD$46,"Q6")+SUMIFS('11. Distribution Log'!$W$7:$W$46,'11. Distribution Log'!$C$7:$C$46,$D88,'11. Distribution Log'!$AI$7:$AI$46,"Q6"))=0,"",SUMIFS('10. Activity Data Log'!$U$7:$U$46,'10. Activity Data Log'!$C$7:$C$46,$D88,'10. Activity Data Log'!$AD$7:$AD$46,"Q6")+SUMIFS('11. Distribution Log'!$W$7:$W$46,'11. Distribution Log'!$C$7:$C$46,$D88,'11. Distribution Log'!$AI$7:$AI$46,"Q6")),"")</f>
        <v/>
      </c>
      <c r="AB88" s="72" t="str">
        <f aca="false">IFERROR(IF((SUMIFS('10. Activity Data Log'!$U$7:$U$46,'10. Activity Data Log'!$C$7:$C$46,$D88,'10. Activity Data Log'!$AD$7:$AD$46,"Q7")+SUMIFS('11. Distribution Log'!$W$7:$W$46,'11. Distribution Log'!$C$7:$C$46,$D88,'11. Distribution Log'!$AI$7:$AI$46,"Q7"))=0,"",SUMIFS('10. Activity Data Log'!$U$7:$U$46,'10. Activity Data Log'!$C$7:$C$46,$D88,'10. Activity Data Log'!$AD$7:$AD$46,"Q7")+SUMIFS('11. Distribution Log'!$W$7:$W$46,'11. Distribution Log'!$C$7:$C$46,$D88,'11. Distribution Log'!$AI$7:$AI$46,"Q7")),"")</f>
        <v/>
      </c>
      <c r="AC88" s="72" t="str">
        <f aca="false">IFERROR(IF((SUMIFS('10. Activity Data Log'!$U$7:$U$46,'10. Activity Data Log'!$C$7:$C$46,$D88,'10. Activity Data Log'!$AD$7:$AD$46,"Q8")+SUMIFS('11. Distribution Log'!$W$7:$W$46,'11. Distribution Log'!$C$7:$C$46,$D88,'11. Distribution Log'!$AI$7:$AI$46,"Q8"))=0,"",SUMIFS('10. Activity Data Log'!$U$7:$U$46,'10. Activity Data Log'!$C$7:$C$46,$D88,'10. Activity Data Log'!$AD$7:$AD$46,"Q8")+SUMIFS('11. Distribution Log'!$W$7:$W$46,'11. Distribution Log'!$C$7:$C$46,$D88,'11. Distribution Log'!$AI$7:$AI$46,"Q8")),"")</f>
        <v/>
      </c>
      <c r="AD88" s="68" t="str">
        <f aca="false">IFERROR(IF(SUMPRODUCT((COLUMN(N88:U88)-COLUMN(N88)+1&lt;='7. IPTT'!$C$3)*N(N88:U88))=0,"",SUMPRODUCT((COLUMN(V88:AC88)-COLUMN(V88)+1&lt;='7. IPTT'!$C$3)*N(V88:AC88))/SUMPRODUCT((COLUMN(N88:U88)-COLUMN(N88)+1&lt;='7. IPTT'!$C$3)*N(N88:U88))),"")</f>
        <v/>
      </c>
      <c r="AE88" s="22" t="str">
        <f aca="false">IFERROR(IF(AD88="","No data yet",IF(AD88&gt;=0.9,"On Track",IF(AD88&gt;=0.7,"Slightly Behind","Behind"))),"")</f>
        <v>No data yet</v>
      </c>
      <c r="AF88" s="16" t="s">
        <v>1495</v>
      </c>
      <c r="AG88" s="16" t="s">
        <v>1483</v>
      </c>
      <c r="AH88" s="73" t="n">
        <v>136467.47</v>
      </c>
      <c r="AI88" s="74" t="n">
        <v>19514848.21</v>
      </c>
      <c r="AJ88" s="16" t="str">
        <f aca="false">IFERROR(IF(COUNTIF('10. Activity Data Log'!$C$7:$C$46,$D88)=0,"No Data Log entries yet",COUNTIF('10. Activity Data Log'!$C$7:$C$46,$D88)&amp;" entries logged, avg "&amp;TEXT(AVERAGEIF('10. Activity Data Log'!$C$7:$C$46,$D88,'10. Activity Data Log'!$AB$7:$AB$46),"0%")&amp;" of target"),"")</f>
        <v>No Data Log entries yet</v>
      </c>
      <c r="AK88" s="16" t="str">
        <f aca="false">IFERROR(IF(OR(J88="",J88="-"),"During [reporting period], FIVDB delivered: "&amp;E88&amp;" (target: "&amp;I88&amp;"). Source: "&amp;AM88&amp;".","During [reporting period], FIVDB delivered: "&amp;E88&amp;" (target: "&amp;I88&amp;"), contributing to indicator '"&amp;IFERROR(INDEX('7. IPTT'!$F$15:$F$37,MATCH(IF(ISNUMBER(FIND(",",J88)),TRIM(LEFT(J88,FIND(",",J88)-1)),TRIM(J88)),'7. IPTT'!$C$15:$C$37,0)),"")&amp;"' ("&amp;J88&amp;"). Source: "&amp;AM88&amp;"."),"During [reporting period], FIVDB delivered: "&amp;E88&amp;".")</f>
        <v>During [reporting period], FIVDB delivered: Conduct a safeguarding risk screening before any group activity, training, distribution or community event (adult-to-child ratios, presence of trusted adults, venue safety, transport/pick-up arrangements). (target: Screening completed before every group event). Source: Not an explicit Annex 18 row - added as standard child-safeguarding practice preceding all group activities/events, complementing the ongoing Safeguarding/PSEA activities in R2-A5.5.</v>
      </c>
      <c r="AL88" s="16" t="s">
        <v>1496</v>
      </c>
      <c r="AM88" s="16" t="s">
        <v>1497</v>
      </c>
      <c r="AN88" s="22" t="s">
        <v>649</v>
      </c>
      <c r="AO88" s="16" t="s">
        <v>1498</v>
      </c>
    </row>
    <row r="89" customFormat="false" ht="99" hidden="false" customHeight="true" outlineLevel="0" collapsed="false">
      <c r="B89" s="22" t="s">
        <v>1478</v>
      </c>
      <c r="C89" s="22" t="s">
        <v>1479</v>
      </c>
      <c r="D89" s="22" t="s">
        <v>1224</v>
      </c>
      <c r="E89" s="16" t="s">
        <v>1499</v>
      </c>
      <c r="F89" s="16"/>
      <c r="G89" s="16" t="s">
        <v>1321</v>
      </c>
      <c r="H89" s="16" t="s">
        <v>1103</v>
      </c>
      <c r="I89" s="16" t="s">
        <v>1500</v>
      </c>
      <c r="J89" s="22" t="s">
        <v>180</v>
      </c>
      <c r="K89" s="16" t="s">
        <v>1259</v>
      </c>
      <c r="L89" s="22" t="s">
        <v>1106</v>
      </c>
      <c r="M89" s="22" t="s">
        <v>1501</v>
      </c>
      <c r="N89" s="49"/>
      <c r="O89" s="49"/>
      <c r="P89" s="49"/>
      <c r="Q89" s="49"/>
      <c r="R89" s="49"/>
      <c r="S89" s="49"/>
      <c r="T89" s="49"/>
      <c r="U89" s="49"/>
      <c r="V89" s="72" t="str">
        <f aca="false">IFERROR(IF((SUMIFS('10. Activity Data Log'!$U$7:$U$46,'10. Activity Data Log'!$C$7:$C$46,$D89,'10. Activity Data Log'!$AD$7:$AD$46,"Q1")+SUMIFS('11. Distribution Log'!$W$7:$W$46,'11. Distribution Log'!$C$7:$C$46,$D89,'11. Distribution Log'!$AI$7:$AI$46,"Q1"))=0,"",SUMIFS('10. Activity Data Log'!$U$7:$U$46,'10. Activity Data Log'!$C$7:$C$46,$D89,'10. Activity Data Log'!$AD$7:$AD$46,"Q1")+SUMIFS('11. Distribution Log'!$W$7:$W$46,'11. Distribution Log'!$C$7:$C$46,$D89,'11. Distribution Log'!$AI$7:$AI$46,"Q1")),"")</f>
        <v/>
      </c>
      <c r="W89" s="72" t="str">
        <f aca="false">IFERROR(IF((SUMIFS('10. Activity Data Log'!$U$7:$U$46,'10. Activity Data Log'!$C$7:$C$46,$D89,'10. Activity Data Log'!$AD$7:$AD$46,"Q2")+SUMIFS('11. Distribution Log'!$W$7:$W$46,'11. Distribution Log'!$C$7:$C$46,$D89,'11. Distribution Log'!$AI$7:$AI$46,"Q2"))=0,"",SUMIFS('10. Activity Data Log'!$U$7:$U$46,'10. Activity Data Log'!$C$7:$C$46,$D89,'10. Activity Data Log'!$AD$7:$AD$46,"Q2")+SUMIFS('11. Distribution Log'!$W$7:$W$46,'11. Distribution Log'!$C$7:$C$46,$D89,'11. Distribution Log'!$AI$7:$AI$46,"Q2")),"")</f>
        <v/>
      </c>
      <c r="X89" s="72" t="str">
        <f aca="false">IFERROR(IF((SUMIFS('10. Activity Data Log'!$U$7:$U$46,'10. Activity Data Log'!$C$7:$C$46,$D89,'10. Activity Data Log'!$AD$7:$AD$46,"Q3")+SUMIFS('11. Distribution Log'!$W$7:$W$46,'11. Distribution Log'!$C$7:$C$46,$D89,'11. Distribution Log'!$AI$7:$AI$46,"Q3"))=0,"",SUMIFS('10. Activity Data Log'!$U$7:$U$46,'10. Activity Data Log'!$C$7:$C$46,$D89,'10. Activity Data Log'!$AD$7:$AD$46,"Q3")+SUMIFS('11. Distribution Log'!$W$7:$W$46,'11. Distribution Log'!$C$7:$C$46,$D89,'11. Distribution Log'!$AI$7:$AI$46,"Q3")),"")</f>
        <v/>
      </c>
      <c r="Y89" s="72" t="str">
        <f aca="false">IFERROR(IF((SUMIFS('10. Activity Data Log'!$U$7:$U$46,'10. Activity Data Log'!$C$7:$C$46,$D89,'10. Activity Data Log'!$AD$7:$AD$46,"Q4")+SUMIFS('11. Distribution Log'!$W$7:$W$46,'11. Distribution Log'!$C$7:$C$46,$D89,'11. Distribution Log'!$AI$7:$AI$46,"Q4"))=0,"",SUMIFS('10. Activity Data Log'!$U$7:$U$46,'10. Activity Data Log'!$C$7:$C$46,$D89,'10. Activity Data Log'!$AD$7:$AD$46,"Q4")+SUMIFS('11. Distribution Log'!$W$7:$W$46,'11. Distribution Log'!$C$7:$C$46,$D89,'11. Distribution Log'!$AI$7:$AI$46,"Q4")),"")</f>
        <v/>
      </c>
      <c r="Z89" s="72" t="str">
        <f aca="false">IFERROR(IF((SUMIFS('10. Activity Data Log'!$U$7:$U$46,'10. Activity Data Log'!$C$7:$C$46,$D89,'10. Activity Data Log'!$AD$7:$AD$46,"Q5")+SUMIFS('11. Distribution Log'!$W$7:$W$46,'11. Distribution Log'!$C$7:$C$46,$D89,'11. Distribution Log'!$AI$7:$AI$46,"Q5"))=0,"",SUMIFS('10. Activity Data Log'!$U$7:$U$46,'10. Activity Data Log'!$C$7:$C$46,$D89,'10. Activity Data Log'!$AD$7:$AD$46,"Q5")+SUMIFS('11. Distribution Log'!$W$7:$W$46,'11. Distribution Log'!$C$7:$C$46,$D89,'11. Distribution Log'!$AI$7:$AI$46,"Q5")),"")</f>
        <v/>
      </c>
      <c r="AA89" s="72" t="str">
        <f aca="false">IFERROR(IF((SUMIFS('10. Activity Data Log'!$U$7:$U$46,'10. Activity Data Log'!$C$7:$C$46,$D89,'10. Activity Data Log'!$AD$7:$AD$46,"Q6")+SUMIFS('11. Distribution Log'!$W$7:$W$46,'11. Distribution Log'!$C$7:$C$46,$D89,'11. Distribution Log'!$AI$7:$AI$46,"Q6"))=0,"",SUMIFS('10. Activity Data Log'!$U$7:$U$46,'10. Activity Data Log'!$C$7:$C$46,$D89,'10. Activity Data Log'!$AD$7:$AD$46,"Q6")+SUMIFS('11. Distribution Log'!$W$7:$W$46,'11. Distribution Log'!$C$7:$C$46,$D89,'11. Distribution Log'!$AI$7:$AI$46,"Q6")),"")</f>
        <v/>
      </c>
      <c r="AB89" s="72" t="str">
        <f aca="false">IFERROR(IF((SUMIFS('10. Activity Data Log'!$U$7:$U$46,'10. Activity Data Log'!$C$7:$C$46,$D89,'10. Activity Data Log'!$AD$7:$AD$46,"Q7")+SUMIFS('11. Distribution Log'!$W$7:$W$46,'11. Distribution Log'!$C$7:$C$46,$D89,'11. Distribution Log'!$AI$7:$AI$46,"Q7"))=0,"",SUMIFS('10. Activity Data Log'!$U$7:$U$46,'10. Activity Data Log'!$C$7:$C$46,$D89,'10. Activity Data Log'!$AD$7:$AD$46,"Q7")+SUMIFS('11. Distribution Log'!$W$7:$W$46,'11. Distribution Log'!$C$7:$C$46,$D89,'11. Distribution Log'!$AI$7:$AI$46,"Q7")),"")</f>
        <v/>
      </c>
      <c r="AC89" s="72" t="str">
        <f aca="false">IFERROR(IF((SUMIFS('10. Activity Data Log'!$U$7:$U$46,'10. Activity Data Log'!$C$7:$C$46,$D89,'10. Activity Data Log'!$AD$7:$AD$46,"Q8")+SUMIFS('11. Distribution Log'!$W$7:$W$46,'11. Distribution Log'!$C$7:$C$46,$D89,'11. Distribution Log'!$AI$7:$AI$46,"Q8"))=0,"",SUMIFS('10. Activity Data Log'!$U$7:$U$46,'10. Activity Data Log'!$C$7:$C$46,$D89,'10. Activity Data Log'!$AD$7:$AD$46,"Q8")+SUMIFS('11. Distribution Log'!$W$7:$W$46,'11. Distribution Log'!$C$7:$C$46,$D89,'11. Distribution Log'!$AI$7:$AI$46,"Q8")),"")</f>
        <v/>
      </c>
      <c r="AD89" s="68" t="str">
        <f aca="false">IFERROR(IF(SUMPRODUCT((COLUMN(N89:U89)-COLUMN(N89)+1&lt;='7. IPTT'!$C$3)*N(N89:U89))=0,"",SUMPRODUCT((COLUMN(V89:AC89)-COLUMN(V89)+1&lt;='7. IPTT'!$C$3)*N(V89:AC89))/SUMPRODUCT((COLUMN(N89:U89)-COLUMN(N89)+1&lt;='7. IPTT'!$C$3)*N(N89:U89))),"")</f>
        <v/>
      </c>
      <c r="AE89" s="22" t="str">
        <f aca="false">IFERROR(IF(AD89="","No data yet",IF(AD89&gt;=0.9,"On Track",IF(AD89&gt;=0.7,"Slightly Behind","Behind"))),"")</f>
        <v>No data yet</v>
      </c>
      <c r="AF89" s="16" t="s">
        <v>1502</v>
      </c>
      <c r="AG89" s="16" t="s">
        <v>1483</v>
      </c>
      <c r="AH89" s="73" t="n">
        <v>136467.47</v>
      </c>
      <c r="AI89" s="74" t="n">
        <v>19514848.21</v>
      </c>
      <c r="AJ89" s="16" t="str">
        <f aca="false">IFERROR(IF(COUNTIF('10. Activity Data Log'!$C$7:$C$46,$D89)=0,"No Data Log entries yet",COUNTIF('10. Activity Data Log'!$C$7:$C$46,$D89)&amp;" entries logged, avg "&amp;TEXT(AVERAGEIF('10. Activity Data Log'!$C$7:$C$46,$D89,'10. Activity Data Log'!$AB$7:$AB$46),"0%")&amp;" of target"),"")</f>
        <v>No Data Log entries yet</v>
      </c>
      <c r="AK89" s="16" t="str">
        <f aca="false">IFERROR(IF(OR(J89="",J89="-"),"During [reporting period], FIVDB delivered: "&amp;E89&amp;" (target: "&amp;I89&amp;"). Source: "&amp;AM89&amp;".","During [reporting period], FIVDB delivered: "&amp;E89&amp;" (target: "&amp;I89&amp;"), contributing to indicator '"&amp;IFERROR(INDEX('7. IPTT'!$F$15:$F$37,MATCH(IF(ISNUMBER(FIND(",",J89)),TRIM(LEFT(J89,FIND(",",J89)-1)),TRIM(J89)),'7. IPTT'!$C$15:$C$37,0)),"")&amp;"' ("&amp;J89&amp;"). Source: "&amp;AM89&amp;"."),"During [reporting period], FIVDB delivered: "&amp;E89&amp;".")</f>
        <v>During [reporting period], FIVDB delivered: Ensure gender mainstreaming and EU Gender-Age Marker compliance across all FIVDB activities (gender-responsive design review of facilities and sessions, sex/age-disaggregated monitoring, gender-balanced staffing and participation). (target: All activities reviewed for gender/age responsiveness), contributing to indicator '% of beneficiaries reporting that humanitarian assistance is delivered in a safe, accessible, accountable and participatory manner' (SO-I1). Source: Not an explicit Annex 18 row - added per the EU Gender-Age Marker requirement referenced in the Logframe's Result 1 Indicator 2 definition ('gender and age responsive in line with the EU Gender-Age Marker').</v>
      </c>
      <c r="AL89" s="16" t="s">
        <v>1503</v>
      </c>
      <c r="AM89" s="16" t="s">
        <v>1504</v>
      </c>
      <c r="AN89" s="22" t="s">
        <v>181</v>
      </c>
      <c r="AO89" s="16" t="s">
        <v>1505</v>
      </c>
    </row>
    <row r="90" customFormat="false" ht="19.5" hidden="false" customHeight="true" outlineLevel="0" collapsed="false">
      <c r="B90" s="66" t="s">
        <v>1506</v>
      </c>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row>
    <row r="91" customFormat="false" ht="99" hidden="false" customHeight="true" outlineLevel="0" collapsed="false">
      <c r="B91" s="22" t="s">
        <v>1507</v>
      </c>
      <c r="C91" s="22" t="s">
        <v>331</v>
      </c>
      <c r="D91" s="22" t="s">
        <v>1508</v>
      </c>
      <c r="E91" s="16" t="s">
        <v>1509</v>
      </c>
      <c r="F91" s="16"/>
      <c r="G91" s="16" t="s">
        <v>1194</v>
      </c>
      <c r="H91" s="16" t="s">
        <v>1457</v>
      </c>
      <c r="I91" s="16" t="s">
        <v>1510</v>
      </c>
      <c r="J91" s="22" t="s">
        <v>543</v>
      </c>
      <c r="K91" s="16" t="s">
        <v>1245</v>
      </c>
      <c r="L91" s="22" t="s">
        <v>1106</v>
      </c>
      <c r="M91" s="22" t="s">
        <v>1466</v>
      </c>
      <c r="N91" s="49"/>
      <c r="O91" s="49"/>
      <c r="P91" s="49"/>
      <c r="Q91" s="49"/>
      <c r="R91" s="49"/>
      <c r="S91" s="49"/>
      <c r="T91" s="49"/>
      <c r="U91" s="49"/>
      <c r="V91" s="72" t="str">
        <f aca="false">IFERROR(IF((SUMIFS('10. Activity Data Log'!$U$7:$U$46,'10. Activity Data Log'!$C$7:$C$46,$D91,'10. Activity Data Log'!$AD$7:$AD$46,"Q1")+SUMIFS('11. Distribution Log'!$W$7:$W$46,'11. Distribution Log'!$C$7:$C$46,$D91,'11. Distribution Log'!$AI$7:$AI$46,"Q1"))=0,"",SUMIFS('10. Activity Data Log'!$U$7:$U$46,'10. Activity Data Log'!$C$7:$C$46,$D91,'10. Activity Data Log'!$AD$7:$AD$46,"Q1")+SUMIFS('11. Distribution Log'!$W$7:$W$46,'11. Distribution Log'!$C$7:$C$46,$D91,'11. Distribution Log'!$AI$7:$AI$46,"Q1")),"")</f>
        <v/>
      </c>
      <c r="W91" s="72" t="str">
        <f aca="false">IFERROR(IF((SUMIFS('10. Activity Data Log'!$U$7:$U$46,'10. Activity Data Log'!$C$7:$C$46,$D91,'10. Activity Data Log'!$AD$7:$AD$46,"Q2")+SUMIFS('11. Distribution Log'!$W$7:$W$46,'11. Distribution Log'!$C$7:$C$46,$D91,'11. Distribution Log'!$AI$7:$AI$46,"Q2"))=0,"",SUMIFS('10. Activity Data Log'!$U$7:$U$46,'10. Activity Data Log'!$C$7:$C$46,$D91,'10. Activity Data Log'!$AD$7:$AD$46,"Q2")+SUMIFS('11. Distribution Log'!$W$7:$W$46,'11. Distribution Log'!$C$7:$C$46,$D91,'11. Distribution Log'!$AI$7:$AI$46,"Q2")),"")</f>
        <v/>
      </c>
      <c r="X91" s="72" t="str">
        <f aca="false">IFERROR(IF((SUMIFS('10. Activity Data Log'!$U$7:$U$46,'10. Activity Data Log'!$C$7:$C$46,$D91,'10. Activity Data Log'!$AD$7:$AD$46,"Q3")+SUMIFS('11. Distribution Log'!$W$7:$W$46,'11. Distribution Log'!$C$7:$C$46,$D91,'11. Distribution Log'!$AI$7:$AI$46,"Q3"))=0,"",SUMIFS('10. Activity Data Log'!$U$7:$U$46,'10. Activity Data Log'!$C$7:$C$46,$D91,'10. Activity Data Log'!$AD$7:$AD$46,"Q3")+SUMIFS('11. Distribution Log'!$W$7:$W$46,'11. Distribution Log'!$C$7:$C$46,$D91,'11. Distribution Log'!$AI$7:$AI$46,"Q3")),"")</f>
        <v/>
      </c>
      <c r="Y91" s="72" t="str">
        <f aca="false">IFERROR(IF((SUMIFS('10. Activity Data Log'!$U$7:$U$46,'10. Activity Data Log'!$C$7:$C$46,$D91,'10. Activity Data Log'!$AD$7:$AD$46,"Q4")+SUMIFS('11. Distribution Log'!$W$7:$W$46,'11. Distribution Log'!$C$7:$C$46,$D91,'11. Distribution Log'!$AI$7:$AI$46,"Q4"))=0,"",SUMIFS('10. Activity Data Log'!$U$7:$U$46,'10. Activity Data Log'!$C$7:$C$46,$D91,'10. Activity Data Log'!$AD$7:$AD$46,"Q4")+SUMIFS('11. Distribution Log'!$W$7:$W$46,'11. Distribution Log'!$C$7:$C$46,$D91,'11. Distribution Log'!$AI$7:$AI$46,"Q4")),"")</f>
        <v/>
      </c>
      <c r="Z91" s="72" t="str">
        <f aca="false">IFERROR(IF((SUMIFS('10. Activity Data Log'!$U$7:$U$46,'10. Activity Data Log'!$C$7:$C$46,$D91,'10. Activity Data Log'!$AD$7:$AD$46,"Q5")+SUMIFS('11. Distribution Log'!$W$7:$W$46,'11. Distribution Log'!$C$7:$C$46,$D91,'11. Distribution Log'!$AI$7:$AI$46,"Q5"))=0,"",SUMIFS('10. Activity Data Log'!$U$7:$U$46,'10. Activity Data Log'!$C$7:$C$46,$D91,'10. Activity Data Log'!$AD$7:$AD$46,"Q5")+SUMIFS('11. Distribution Log'!$W$7:$W$46,'11. Distribution Log'!$C$7:$C$46,$D91,'11. Distribution Log'!$AI$7:$AI$46,"Q5")),"")</f>
        <v/>
      </c>
      <c r="AA91" s="72" t="str">
        <f aca="false">IFERROR(IF((SUMIFS('10. Activity Data Log'!$U$7:$U$46,'10. Activity Data Log'!$C$7:$C$46,$D91,'10. Activity Data Log'!$AD$7:$AD$46,"Q6")+SUMIFS('11. Distribution Log'!$W$7:$W$46,'11. Distribution Log'!$C$7:$C$46,$D91,'11. Distribution Log'!$AI$7:$AI$46,"Q6"))=0,"",SUMIFS('10. Activity Data Log'!$U$7:$U$46,'10. Activity Data Log'!$C$7:$C$46,$D91,'10. Activity Data Log'!$AD$7:$AD$46,"Q6")+SUMIFS('11. Distribution Log'!$W$7:$W$46,'11. Distribution Log'!$C$7:$C$46,$D91,'11. Distribution Log'!$AI$7:$AI$46,"Q6")),"")</f>
        <v/>
      </c>
      <c r="AB91" s="72" t="str">
        <f aca="false">IFERROR(IF((SUMIFS('10. Activity Data Log'!$U$7:$U$46,'10. Activity Data Log'!$C$7:$C$46,$D91,'10. Activity Data Log'!$AD$7:$AD$46,"Q7")+SUMIFS('11. Distribution Log'!$W$7:$W$46,'11. Distribution Log'!$C$7:$C$46,$D91,'11. Distribution Log'!$AI$7:$AI$46,"Q7"))=0,"",SUMIFS('10. Activity Data Log'!$U$7:$U$46,'10. Activity Data Log'!$C$7:$C$46,$D91,'10. Activity Data Log'!$AD$7:$AD$46,"Q7")+SUMIFS('11. Distribution Log'!$W$7:$W$46,'11. Distribution Log'!$C$7:$C$46,$D91,'11. Distribution Log'!$AI$7:$AI$46,"Q7")),"")</f>
        <v/>
      </c>
      <c r="AC91" s="72" t="str">
        <f aca="false">IFERROR(IF((SUMIFS('10. Activity Data Log'!$U$7:$U$46,'10. Activity Data Log'!$C$7:$C$46,$D91,'10. Activity Data Log'!$AD$7:$AD$46,"Q8")+SUMIFS('11. Distribution Log'!$W$7:$W$46,'11. Distribution Log'!$C$7:$C$46,$D91,'11. Distribution Log'!$AI$7:$AI$46,"Q8"))=0,"",SUMIFS('10. Activity Data Log'!$U$7:$U$46,'10. Activity Data Log'!$C$7:$C$46,$D91,'10. Activity Data Log'!$AD$7:$AD$46,"Q8")+SUMIFS('11. Distribution Log'!$W$7:$W$46,'11. Distribution Log'!$C$7:$C$46,$D91,'11. Distribution Log'!$AI$7:$AI$46,"Q8")),"")</f>
        <v/>
      </c>
      <c r="AD91" s="68" t="str">
        <f aca="false">IFERROR(IF(SUMPRODUCT((COLUMN(N91:U91)-COLUMN(N91)+1&lt;='7. IPTT'!$C$3)*N(N91:U91))=0,"",SUMPRODUCT((COLUMN(V91:AC91)-COLUMN(V91)+1&lt;='7. IPTT'!$C$3)*N(V91:AC91))/SUMPRODUCT((COLUMN(N91:U91)-COLUMN(N91)+1&lt;='7. IPTT'!$C$3)*N(N91:U91))),"")</f>
        <v/>
      </c>
      <c r="AE91" s="22" t="str">
        <f aca="false">IFERROR(IF(AD91="","No data yet",IF(AD91&gt;=0.9,"On Track",IF(AD91&gt;=0.7,"Slightly Behind","Behind"))),"")</f>
        <v>No data yet</v>
      </c>
      <c r="AF91" s="16" t="s">
        <v>1511</v>
      </c>
      <c r="AG91" s="16" t="s">
        <v>1389</v>
      </c>
      <c r="AH91" s="73" t="n">
        <v>174890.55</v>
      </c>
      <c r="AI91" s="74" t="n">
        <v>25009348.65</v>
      </c>
      <c r="AJ91" s="16" t="str">
        <f aca="false">IFERROR(IF(COUNTIF('10. Activity Data Log'!$C$7:$C$46,$D91)=0,"No Data Log entries yet",COUNTIF('10. Activity Data Log'!$C$7:$C$46,$D91)&amp;" entries logged, avg "&amp;TEXT(AVERAGEIF('10. Activity Data Log'!$C$7:$C$46,$D91,'10. Activity Data Log'!$AB$7:$AB$46),"0%")&amp;" of target"),"")</f>
        <v>No Data Log entries yet</v>
      </c>
      <c r="AK91" s="16" t="str">
        <f aca="false">IFERROR(IF(OR(J91="",J91="-"),"During [reporting period], FIVDB delivered: "&amp;E91&amp;" (target: "&amp;I91&amp;"). Source: "&amp;AM91&amp;".","During [reporting period], FIVDB delivered: "&amp;E91&amp;" (target: "&amp;I91&amp;"), contributing to indicator '"&amp;IFERROR(INDEX('7. IPTT'!$F$15:$F$37,MATCH(IF(ISNUMBER(FIND(",",J91)),TRIM(LEFT(J91,FIND(",",J91)-1)),TRIM(J91)),'7. IPTT'!$C$15:$C$37,0)),"")&amp;"' ("&amp;J91&amp;"). Source: "&amp;AM91&amp;"."),"During [reporting period], FIVDB delivered: "&amp;E91&amp;".")</f>
        <v>During [reporting period], FIVDB delivered: Contribute to the national and local level lesson-learned workshop. (target: FIVDB participation and case examples shared). Source: Annex 18 Workplan, Row 153 (National and Local level lesson learned workshop).</v>
      </c>
      <c r="AL91" s="16" t="s">
        <v>1512</v>
      </c>
      <c r="AM91" s="16" t="s">
        <v>1513</v>
      </c>
      <c r="AN91" s="22" t="s">
        <v>658</v>
      </c>
      <c r="AO91" s="16" t="s">
        <v>1514</v>
      </c>
    </row>
    <row r="92" customFormat="false" ht="99" hidden="false" customHeight="true" outlineLevel="0" collapsed="false">
      <c r="B92" s="22" t="s">
        <v>1507</v>
      </c>
      <c r="C92" s="22" t="s">
        <v>331</v>
      </c>
      <c r="D92" s="22" t="s">
        <v>1515</v>
      </c>
      <c r="E92" s="16" t="s">
        <v>1516</v>
      </c>
      <c r="F92" s="16"/>
      <c r="G92" s="16" t="s">
        <v>1102</v>
      </c>
      <c r="H92" s="16" t="s">
        <v>1103</v>
      </c>
      <c r="I92" s="16" t="s">
        <v>1517</v>
      </c>
      <c r="J92" s="22" t="s">
        <v>543</v>
      </c>
      <c r="K92" s="16" t="s">
        <v>1245</v>
      </c>
      <c r="L92" s="22" t="s">
        <v>1106</v>
      </c>
      <c r="M92" s="22" t="s">
        <v>1518</v>
      </c>
      <c r="N92" s="49"/>
      <c r="O92" s="49"/>
      <c r="P92" s="49"/>
      <c r="Q92" s="49"/>
      <c r="R92" s="49"/>
      <c r="S92" s="49"/>
      <c r="T92" s="49"/>
      <c r="U92" s="49"/>
      <c r="V92" s="72" t="str">
        <f aca="false">IFERROR(IF((SUMIFS('10. Activity Data Log'!$U$7:$U$46,'10. Activity Data Log'!$C$7:$C$46,$D92,'10. Activity Data Log'!$AD$7:$AD$46,"Q1")+SUMIFS('11. Distribution Log'!$W$7:$W$46,'11. Distribution Log'!$C$7:$C$46,$D92,'11. Distribution Log'!$AI$7:$AI$46,"Q1"))=0,"",SUMIFS('10. Activity Data Log'!$U$7:$U$46,'10. Activity Data Log'!$C$7:$C$46,$D92,'10. Activity Data Log'!$AD$7:$AD$46,"Q1")+SUMIFS('11. Distribution Log'!$W$7:$W$46,'11. Distribution Log'!$C$7:$C$46,$D92,'11. Distribution Log'!$AI$7:$AI$46,"Q1")),"")</f>
        <v/>
      </c>
      <c r="W92" s="72" t="str">
        <f aca="false">IFERROR(IF((SUMIFS('10. Activity Data Log'!$U$7:$U$46,'10. Activity Data Log'!$C$7:$C$46,$D92,'10. Activity Data Log'!$AD$7:$AD$46,"Q2")+SUMIFS('11. Distribution Log'!$W$7:$W$46,'11. Distribution Log'!$C$7:$C$46,$D92,'11. Distribution Log'!$AI$7:$AI$46,"Q2"))=0,"",SUMIFS('10. Activity Data Log'!$U$7:$U$46,'10. Activity Data Log'!$C$7:$C$46,$D92,'10. Activity Data Log'!$AD$7:$AD$46,"Q2")+SUMIFS('11. Distribution Log'!$W$7:$W$46,'11. Distribution Log'!$C$7:$C$46,$D92,'11. Distribution Log'!$AI$7:$AI$46,"Q2")),"")</f>
        <v/>
      </c>
      <c r="X92" s="72" t="str">
        <f aca="false">IFERROR(IF((SUMIFS('10. Activity Data Log'!$U$7:$U$46,'10. Activity Data Log'!$C$7:$C$46,$D92,'10. Activity Data Log'!$AD$7:$AD$46,"Q3")+SUMIFS('11. Distribution Log'!$W$7:$W$46,'11. Distribution Log'!$C$7:$C$46,$D92,'11. Distribution Log'!$AI$7:$AI$46,"Q3"))=0,"",SUMIFS('10. Activity Data Log'!$U$7:$U$46,'10. Activity Data Log'!$C$7:$C$46,$D92,'10. Activity Data Log'!$AD$7:$AD$46,"Q3")+SUMIFS('11. Distribution Log'!$W$7:$W$46,'11. Distribution Log'!$C$7:$C$46,$D92,'11. Distribution Log'!$AI$7:$AI$46,"Q3")),"")</f>
        <v/>
      </c>
      <c r="Y92" s="72" t="str">
        <f aca="false">IFERROR(IF((SUMIFS('10. Activity Data Log'!$U$7:$U$46,'10. Activity Data Log'!$C$7:$C$46,$D92,'10. Activity Data Log'!$AD$7:$AD$46,"Q4")+SUMIFS('11. Distribution Log'!$W$7:$W$46,'11. Distribution Log'!$C$7:$C$46,$D92,'11. Distribution Log'!$AI$7:$AI$46,"Q4"))=0,"",SUMIFS('10. Activity Data Log'!$U$7:$U$46,'10. Activity Data Log'!$C$7:$C$46,$D92,'10. Activity Data Log'!$AD$7:$AD$46,"Q4")+SUMIFS('11. Distribution Log'!$W$7:$W$46,'11. Distribution Log'!$C$7:$C$46,$D92,'11. Distribution Log'!$AI$7:$AI$46,"Q4")),"")</f>
        <v/>
      </c>
      <c r="Z92" s="72" t="str">
        <f aca="false">IFERROR(IF((SUMIFS('10. Activity Data Log'!$U$7:$U$46,'10. Activity Data Log'!$C$7:$C$46,$D92,'10. Activity Data Log'!$AD$7:$AD$46,"Q5")+SUMIFS('11. Distribution Log'!$W$7:$W$46,'11. Distribution Log'!$C$7:$C$46,$D92,'11. Distribution Log'!$AI$7:$AI$46,"Q5"))=0,"",SUMIFS('10. Activity Data Log'!$U$7:$U$46,'10. Activity Data Log'!$C$7:$C$46,$D92,'10. Activity Data Log'!$AD$7:$AD$46,"Q5")+SUMIFS('11. Distribution Log'!$W$7:$W$46,'11. Distribution Log'!$C$7:$C$46,$D92,'11. Distribution Log'!$AI$7:$AI$46,"Q5")),"")</f>
        <v/>
      </c>
      <c r="AA92" s="72" t="str">
        <f aca="false">IFERROR(IF((SUMIFS('10. Activity Data Log'!$U$7:$U$46,'10. Activity Data Log'!$C$7:$C$46,$D92,'10. Activity Data Log'!$AD$7:$AD$46,"Q6")+SUMIFS('11. Distribution Log'!$W$7:$W$46,'11. Distribution Log'!$C$7:$C$46,$D92,'11. Distribution Log'!$AI$7:$AI$46,"Q6"))=0,"",SUMIFS('10. Activity Data Log'!$U$7:$U$46,'10. Activity Data Log'!$C$7:$C$46,$D92,'10. Activity Data Log'!$AD$7:$AD$46,"Q6")+SUMIFS('11. Distribution Log'!$W$7:$W$46,'11. Distribution Log'!$C$7:$C$46,$D92,'11. Distribution Log'!$AI$7:$AI$46,"Q6")),"")</f>
        <v/>
      </c>
      <c r="AB92" s="72" t="str">
        <f aca="false">IFERROR(IF((SUMIFS('10. Activity Data Log'!$U$7:$U$46,'10. Activity Data Log'!$C$7:$C$46,$D92,'10. Activity Data Log'!$AD$7:$AD$46,"Q7")+SUMIFS('11. Distribution Log'!$W$7:$W$46,'11. Distribution Log'!$C$7:$C$46,$D92,'11. Distribution Log'!$AI$7:$AI$46,"Q7"))=0,"",SUMIFS('10. Activity Data Log'!$U$7:$U$46,'10. Activity Data Log'!$C$7:$C$46,$D92,'10. Activity Data Log'!$AD$7:$AD$46,"Q7")+SUMIFS('11. Distribution Log'!$W$7:$W$46,'11. Distribution Log'!$C$7:$C$46,$D92,'11. Distribution Log'!$AI$7:$AI$46,"Q7")),"")</f>
        <v/>
      </c>
      <c r="AC92" s="72" t="str">
        <f aca="false">IFERROR(IF((SUMIFS('10. Activity Data Log'!$U$7:$U$46,'10. Activity Data Log'!$C$7:$C$46,$D92,'10. Activity Data Log'!$AD$7:$AD$46,"Q8")+SUMIFS('11. Distribution Log'!$W$7:$W$46,'11. Distribution Log'!$C$7:$C$46,$D92,'11. Distribution Log'!$AI$7:$AI$46,"Q8"))=0,"",SUMIFS('10. Activity Data Log'!$U$7:$U$46,'10. Activity Data Log'!$C$7:$C$46,$D92,'10. Activity Data Log'!$AD$7:$AD$46,"Q8")+SUMIFS('11. Distribution Log'!$W$7:$W$46,'11. Distribution Log'!$C$7:$C$46,$D92,'11. Distribution Log'!$AI$7:$AI$46,"Q8")),"")</f>
        <v/>
      </c>
      <c r="AD92" s="68" t="str">
        <f aca="false">IFERROR(IF(SUMPRODUCT((COLUMN(N92:U92)-COLUMN(N92)+1&lt;='7. IPTT'!$C$3)*N(N92:U92))=0,"",SUMPRODUCT((COLUMN(V92:AC92)-COLUMN(V92)+1&lt;='7. IPTT'!$C$3)*N(V92:AC92))/SUMPRODUCT((COLUMN(N92:U92)-COLUMN(N92)+1&lt;='7. IPTT'!$C$3)*N(N92:U92))),"")</f>
        <v/>
      </c>
      <c r="AE92" s="22" t="str">
        <f aca="false">IFERROR(IF(AD92="","No data yet",IF(AD92&gt;=0.9,"On Track",IF(AD92&gt;=0.7,"Slightly Behind","Behind"))),"")</f>
        <v>No data yet</v>
      </c>
      <c r="AF92" s="16" t="s">
        <v>1519</v>
      </c>
      <c r="AG92" s="16" t="s">
        <v>1389</v>
      </c>
      <c r="AH92" s="73" t="n">
        <v>174890.55</v>
      </c>
      <c r="AI92" s="74" t="n">
        <v>25009348.65</v>
      </c>
      <c r="AJ92" s="16" t="str">
        <f aca="false">IFERROR(IF(COUNTIF('10. Activity Data Log'!$C$7:$C$46,$D92)=0,"No Data Log entries yet",COUNTIF('10. Activity Data Log'!$C$7:$C$46,$D92)&amp;" entries logged, avg "&amp;TEXT(AVERAGEIF('10. Activity Data Log'!$C$7:$C$46,$D92,'10. Activity Data Log'!$AB$7:$AB$46),"0%")&amp;" of target"),"")</f>
        <v>No Data Log entries yet</v>
      </c>
      <c r="AK92" s="16" t="str">
        <f aca="false">IFERROR(IF(OR(J92="",J92="-"),"During [reporting period], FIVDB delivered: "&amp;E92&amp;" (target: "&amp;I92&amp;"). Source: "&amp;AM92&amp;".","During [reporting period], FIVDB delivered: "&amp;E92&amp;" (target: "&amp;I92&amp;"), contributing to indicator '"&amp;IFERROR(INDEX('7. IPTT'!$F$15:$F$37,MATCH(IF(ISNUMBER(FIND(",",J92)),TRIM(LEFT(J92,FIND(",",J92)-1)),TRIM(J92)),'7. IPTT'!$C$15:$C$37,0)),"")&amp;"' ("&amp;J92&amp;"). Source: "&amp;AM92&amp;"."),"During [reporting period], FIVDB delivered: "&amp;E92&amp;".")</f>
        <v>During [reporting period], FIVDB delivered: Support the SC-led external final evaluation (data access, KIIs/FGDs, verification of final indicator values). (target: Full cooperation with evaluators). Source: Annex 18 Workplan, Row 158 (SCI-Final Evaluation, External).</v>
      </c>
      <c r="AL92" s="16" t="s">
        <v>1520</v>
      </c>
      <c r="AM92" s="16" t="s">
        <v>1521</v>
      </c>
      <c r="AN92" s="22" t="s">
        <v>181</v>
      </c>
      <c r="AO92" s="16" t="s">
        <v>1522</v>
      </c>
    </row>
    <row r="93" customFormat="false" ht="99" hidden="false" customHeight="true" outlineLevel="0" collapsed="false">
      <c r="B93" s="22" t="s">
        <v>1507</v>
      </c>
      <c r="C93" s="22" t="s">
        <v>331</v>
      </c>
      <c r="D93" s="22" t="s">
        <v>1523</v>
      </c>
      <c r="E93" s="16" t="s">
        <v>1524</v>
      </c>
      <c r="F93" s="16"/>
      <c r="G93" s="16" t="s">
        <v>1355</v>
      </c>
      <c r="H93" s="16" t="s">
        <v>1103</v>
      </c>
      <c r="I93" s="16" t="s">
        <v>1525</v>
      </c>
      <c r="J93" s="22" t="s">
        <v>543</v>
      </c>
      <c r="K93" s="16" t="s">
        <v>1245</v>
      </c>
      <c r="L93" s="22" t="s">
        <v>1106</v>
      </c>
      <c r="M93" s="22" t="s">
        <v>1526</v>
      </c>
      <c r="N93" s="49"/>
      <c r="O93" s="49"/>
      <c r="P93" s="49"/>
      <c r="Q93" s="49"/>
      <c r="R93" s="49"/>
      <c r="S93" s="49"/>
      <c r="T93" s="49"/>
      <c r="U93" s="49"/>
      <c r="V93" s="72" t="str">
        <f aca="false">IFERROR(IF((SUMIFS('10. Activity Data Log'!$U$7:$U$46,'10. Activity Data Log'!$C$7:$C$46,$D93,'10. Activity Data Log'!$AD$7:$AD$46,"Q1")+SUMIFS('11. Distribution Log'!$W$7:$W$46,'11. Distribution Log'!$C$7:$C$46,$D93,'11. Distribution Log'!$AI$7:$AI$46,"Q1"))=0,"",SUMIFS('10. Activity Data Log'!$U$7:$U$46,'10. Activity Data Log'!$C$7:$C$46,$D93,'10. Activity Data Log'!$AD$7:$AD$46,"Q1")+SUMIFS('11. Distribution Log'!$W$7:$W$46,'11. Distribution Log'!$C$7:$C$46,$D93,'11. Distribution Log'!$AI$7:$AI$46,"Q1")),"")</f>
        <v/>
      </c>
      <c r="W93" s="72" t="str">
        <f aca="false">IFERROR(IF((SUMIFS('10. Activity Data Log'!$U$7:$U$46,'10. Activity Data Log'!$C$7:$C$46,$D93,'10. Activity Data Log'!$AD$7:$AD$46,"Q2")+SUMIFS('11. Distribution Log'!$W$7:$W$46,'11. Distribution Log'!$C$7:$C$46,$D93,'11. Distribution Log'!$AI$7:$AI$46,"Q2"))=0,"",SUMIFS('10. Activity Data Log'!$U$7:$U$46,'10. Activity Data Log'!$C$7:$C$46,$D93,'10. Activity Data Log'!$AD$7:$AD$46,"Q2")+SUMIFS('11. Distribution Log'!$W$7:$W$46,'11. Distribution Log'!$C$7:$C$46,$D93,'11. Distribution Log'!$AI$7:$AI$46,"Q2")),"")</f>
        <v/>
      </c>
      <c r="X93" s="72" t="str">
        <f aca="false">IFERROR(IF((SUMIFS('10. Activity Data Log'!$U$7:$U$46,'10. Activity Data Log'!$C$7:$C$46,$D93,'10. Activity Data Log'!$AD$7:$AD$46,"Q3")+SUMIFS('11. Distribution Log'!$W$7:$W$46,'11. Distribution Log'!$C$7:$C$46,$D93,'11. Distribution Log'!$AI$7:$AI$46,"Q3"))=0,"",SUMIFS('10. Activity Data Log'!$U$7:$U$46,'10. Activity Data Log'!$C$7:$C$46,$D93,'10. Activity Data Log'!$AD$7:$AD$46,"Q3")+SUMIFS('11. Distribution Log'!$W$7:$W$46,'11. Distribution Log'!$C$7:$C$46,$D93,'11. Distribution Log'!$AI$7:$AI$46,"Q3")),"")</f>
        <v/>
      </c>
      <c r="Y93" s="72" t="str">
        <f aca="false">IFERROR(IF((SUMIFS('10. Activity Data Log'!$U$7:$U$46,'10. Activity Data Log'!$C$7:$C$46,$D93,'10. Activity Data Log'!$AD$7:$AD$46,"Q4")+SUMIFS('11. Distribution Log'!$W$7:$W$46,'11. Distribution Log'!$C$7:$C$46,$D93,'11. Distribution Log'!$AI$7:$AI$46,"Q4"))=0,"",SUMIFS('10. Activity Data Log'!$U$7:$U$46,'10. Activity Data Log'!$C$7:$C$46,$D93,'10. Activity Data Log'!$AD$7:$AD$46,"Q4")+SUMIFS('11. Distribution Log'!$W$7:$W$46,'11. Distribution Log'!$C$7:$C$46,$D93,'11. Distribution Log'!$AI$7:$AI$46,"Q4")),"")</f>
        <v/>
      </c>
      <c r="Z93" s="72" t="str">
        <f aca="false">IFERROR(IF((SUMIFS('10. Activity Data Log'!$U$7:$U$46,'10. Activity Data Log'!$C$7:$C$46,$D93,'10. Activity Data Log'!$AD$7:$AD$46,"Q5")+SUMIFS('11. Distribution Log'!$W$7:$W$46,'11. Distribution Log'!$C$7:$C$46,$D93,'11. Distribution Log'!$AI$7:$AI$46,"Q5"))=0,"",SUMIFS('10. Activity Data Log'!$U$7:$U$46,'10. Activity Data Log'!$C$7:$C$46,$D93,'10. Activity Data Log'!$AD$7:$AD$46,"Q5")+SUMIFS('11. Distribution Log'!$W$7:$W$46,'11. Distribution Log'!$C$7:$C$46,$D93,'11. Distribution Log'!$AI$7:$AI$46,"Q5")),"")</f>
        <v/>
      </c>
      <c r="AA93" s="72" t="str">
        <f aca="false">IFERROR(IF((SUMIFS('10. Activity Data Log'!$U$7:$U$46,'10. Activity Data Log'!$C$7:$C$46,$D93,'10. Activity Data Log'!$AD$7:$AD$46,"Q6")+SUMIFS('11. Distribution Log'!$W$7:$W$46,'11. Distribution Log'!$C$7:$C$46,$D93,'11. Distribution Log'!$AI$7:$AI$46,"Q6"))=0,"",SUMIFS('10. Activity Data Log'!$U$7:$U$46,'10. Activity Data Log'!$C$7:$C$46,$D93,'10. Activity Data Log'!$AD$7:$AD$46,"Q6")+SUMIFS('11. Distribution Log'!$W$7:$W$46,'11. Distribution Log'!$C$7:$C$46,$D93,'11. Distribution Log'!$AI$7:$AI$46,"Q6")),"")</f>
        <v/>
      </c>
      <c r="AB93" s="72" t="str">
        <f aca="false">IFERROR(IF((SUMIFS('10. Activity Data Log'!$U$7:$U$46,'10. Activity Data Log'!$C$7:$C$46,$D93,'10. Activity Data Log'!$AD$7:$AD$46,"Q7")+SUMIFS('11. Distribution Log'!$W$7:$W$46,'11. Distribution Log'!$C$7:$C$46,$D93,'11. Distribution Log'!$AI$7:$AI$46,"Q7"))=0,"",SUMIFS('10. Activity Data Log'!$U$7:$U$46,'10. Activity Data Log'!$C$7:$C$46,$D93,'10. Activity Data Log'!$AD$7:$AD$46,"Q7")+SUMIFS('11. Distribution Log'!$W$7:$W$46,'11. Distribution Log'!$C$7:$C$46,$D93,'11. Distribution Log'!$AI$7:$AI$46,"Q7")),"")</f>
        <v/>
      </c>
      <c r="AC93" s="72" t="str">
        <f aca="false">IFERROR(IF((SUMIFS('10. Activity Data Log'!$U$7:$U$46,'10. Activity Data Log'!$C$7:$C$46,$D93,'10. Activity Data Log'!$AD$7:$AD$46,"Q8")+SUMIFS('11. Distribution Log'!$W$7:$W$46,'11. Distribution Log'!$C$7:$C$46,$D93,'11. Distribution Log'!$AI$7:$AI$46,"Q8"))=0,"",SUMIFS('10. Activity Data Log'!$U$7:$U$46,'10. Activity Data Log'!$C$7:$C$46,$D93,'10. Activity Data Log'!$AD$7:$AD$46,"Q8")+SUMIFS('11. Distribution Log'!$W$7:$W$46,'11. Distribution Log'!$C$7:$C$46,$D93,'11. Distribution Log'!$AI$7:$AI$46,"Q8")),"")</f>
        <v/>
      </c>
      <c r="AD93" s="68" t="str">
        <f aca="false">IFERROR(IF(SUMPRODUCT((COLUMN(N93:U93)-COLUMN(N93)+1&lt;='7. IPTT'!$C$3)*N(N93:U93))=0,"",SUMPRODUCT((COLUMN(V93:AC93)-COLUMN(V93)+1&lt;='7. IPTT'!$C$3)*N(V93:AC93))/SUMPRODUCT((COLUMN(N93:U93)-COLUMN(N93)+1&lt;='7. IPTT'!$C$3)*N(N93:U93))),"")</f>
        <v/>
      </c>
      <c r="AE93" s="22" t="str">
        <f aca="false">IFERROR(IF(AD93="","No data yet",IF(AD93&gt;=0.9,"On Track",IF(AD93&gt;=0.7,"Slightly Behind","Behind"))),"")</f>
        <v>No data yet</v>
      </c>
      <c r="AF93" s="16" t="s">
        <v>1527</v>
      </c>
      <c r="AG93" s="16" t="s">
        <v>1389</v>
      </c>
      <c r="AH93" s="73" t="n">
        <v>174890.55</v>
      </c>
      <c r="AI93" s="74" t="n">
        <v>25009348.65</v>
      </c>
      <c r="AJ93" s="16" t="str">
        <f aca="false">IFERROR(IF(COUNTIF('10. Activity Data Log'!$C$7:$C$46,$D93)=0,"No Data Log entries yet",COUNTIF('10. Activity Data Log'!$C$7:$C$46,$D93)&amp;" entries logged, avg "&amp;TEXT(AVERAGEIF('10. Activity Data Log'!$C$7:$C$46,$D93,'10. Activity Data Log'!$AB$7:$AB$46),"0%")&amp;" of target"),"")</f>
        <v>No Data Log entries yet</v>
      </c>
      <c r="AK93" s="16" t="str">
        <f aca="false">IFERROR(IF(OR(J93="",J93="-"),"During [reporting period], FIVDB delivered: "&amp;E93&amp;" (target: "&amp;I93&amp;"). Source: "&amp;AM93&amp;".","During [reporting period], FIVDB delivered: "&amp;E93&amp;" (target: "&amp;I93&amp;"), contributing to indicator '"&amp;IFERROR(INDEX('7. IPTT'!$F$15:$F$37,MATCH(IF(ISNUMBER(FIND(",",J93)),TRIM(LEFT(J93,FIND(",",J93)-1)),TRIM(J93)),'7. IPTT'!$C$15:$C$37,0)),"")&amp;"' ("&amp;J93&amp;"). Source: "&amp;AM93&amp;"."),"During [reporting period], FIVDB delivered: "&amp;E93&amp;".")</f>
        <v>During [reporting period], FIVDB delivered: Contribute FIVDB content (photos, case/success stories, quotes) to the consortium's video documentary and other visibility/media and printing products. (target: FIVDB content supplied on request). Source: Annex 18 Workplan, Row 159 (Video documentary, Media and Printing).</v>
      </c>
      <c r="AL93" s="16" t="s">
        <v>1528</v>
      </c>
      <c r="AM93" s="16" t="s">
        <v>1529</v>
      </c>
      <c r="AN93" s="22" t="s">
        <v>181</v>
      </c>
      <c r="AO93" s="16" t="s">
        <v>1530</v>
      </c>
    </row>
  </sheetData>
  <autoFilter ref="B6:AO93"/>
  <mergeCells count="40">
    <mergeCell ref="B2:AO2"/>
    <mergeCell ref="B3:AO3"/>
    <mergeCell ref="B5:B6"/>
    <mergeCell ref="C5:C6"/>
    <mergeCell ref="D5:D6"/>
    <mergeCell ref="E5:E6"/>
    <mergeCell ref="F5:F6"/>
    <mergeCell ref="G5:G6"/>
    <mergeCell ref="H5:H6"/>
    <mergeCell ref="I5:I6"/>
    <mergeCell ref="J5:J6"/>
    <mergeCell ref="K5:K6"/>
    <mergeCell ref="L5:L6"/>
    <mergeCell ref="M5:M6"/>
    <mergeCell ref="N5:U5"/>
    <mergeCell ref="V5:AC5"/>
    <mergeCell ref="AD5:AD6"/>
    <mergeCell ref="AE5:AE6"/>
    <mergeCell ref="AF5:AF6"/>
    <mergeCell ref="AG5:AG6"/>
    <mergeCell ref="AH5:AH6"/>
    <mergeCell ref="AI5:AI6"/>
    <mergeCell ref="AJ5:AJ6"/>
    <mergeCell ref="AK5:AK6"/>
    <mergeCell ref="AL5:AL6"/>
    <mergeCell ref="AM5:AM6"/>
    <mergeCell ref="AN5:AN6"/>
    <mergeCell ref="AO5:AO6"/>
    <mergeCell ref="B7:AO7"/>
    <mergeCell ref="B11:AO11"/>
    <mergeCell ref="B23:AO23"/>
    <mergeCell ref="B25:AO25"/>
    <mergeCell ref="B40:AO40"/>
    <mergeCell ref="B44:AO44"/>
    <mergeCell ref="B52:AO52"/>
    <mergeCell ref="B59:AO59"/>
    <mergeCell ref="B66:AO66"/>
    <mergeCell ref="B72:AO72"/>
    <mergeCell ref="B85:AO85"/>
    <mergeCell ref="B90:AO90"/>
  </mergeCells>
  <conditionalFormatting sqref="AE7:AE93">
    <cfRule type="expression" priority="2" aboveAverage="0" equalAverage="0" bottom="0" percent="0" rank="0" text="" dxfId="10">
      <formula>AE7="On Track"</formula>
    </cfRule>
    <cfRule type="expression" priority="3" aboveAverage="0" equalAverage="0" bottom="0" percent="0" rank="0" text="" dxfId="11">
      <formula>AE7="Slightly Behind"</formula>
    </cfRule>
    <cfRule type="expression" priority="4" aboveAverage="0" equalAverage="0" bottom="0" percent="0" rank="0" text="" dxfId="12">
      <formula>AE7="Behind"</formula>
    </cfRule>
  </conditionalFormatting>
  <conditionalFormatting sqref="V7:AC93">
    <cfRule type="expression" priority="5" aboveAverage="0" equalAverage="0" bottom="0" percent="0" rank="0" text="" dxfId="10">
      <formula>V7="Completed"</formula>
    </cfRule>
    <cfRule type="expression" priority="6" aboveAverage="0" equalAverage="0" bottom="0" percent="0" rank="0" text="" dxfId="12">
      <formula>V7="Delayed"</formula>
    </cfRule>
    <cfRule type="expression" priority="7" aboveAverage="0" equalAverage="0" bottom="0" percent="0" rank="0" text="" dxfId="11">
      <formula>V7="Ongoing"</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F4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12"/>
    <col collapsed="false" customWidth="true" hidden="false" outlineLevel="0" max="4" min="4" style="0" width="24"/>
    <col collapsed="false" customWidth="true" hidden="false" outlineLevel="0" max="5" min="5" style="0" width="10"/>
    <col collapsed="false" customWidth="true" hidden="false" outlineLevel="0" max="7" min="6" style="0" width="11"/>
    <col collapsed="false" customWidth="true" hidden="false" outlineLevel="0" max="8" min="8" style="0" width="9"/>
    <col collapsed="false" customWidth="true" hidden="false" outlineLevel="0" max="9" min="9" style="0" width="15"/>
    <col collapsed="false" customWidth="true" hidden="false" outlineLevel="0" max="10" min="10" style="0" width="12"/>
    <col collapsed="false" customWidth="true" hidden="false" outlineLevel="0" max="11" min="11" style="0" width="14"/>
    <col collapsed="false" customWidth="true" hidden="false" outlineLevel="0" max="12" min="12" style="0" width="22"/>
    <col collapsed="false" customWidth="true" hidden="false" outlineLevel="0" max="20" min="13" style="0" width="7"/>
    <col collapsed="false" customWidth="true" hidden="false" outlineLevel="0" max="21" min="21" style="0" width="9"/>
    <col collapsed="false" customWidth="true" hidden="false" outlineLevel="0" max="22" min="22" style="0" width="8"/>
    <col collapsed="false" customWidth="true" hidden="false" outlineLevel="0" max="24" min="23" style="0" width="9"/>
    <col collapsed="false" customWidth="true" hidden="false" outlineLevel="0" max="27" min="25" style="0" width="10"/>
    <col collapsed="false" customWidth="true" hidden="false" outlineLevel="0" max="28" min="28" style="0" width="8"/>
    <col collapsed="false" customWidth="true" hidden="false" outlineLevel="0" max="29" min="29" style="0" width="16"/>
    <col collapsed="false" customWidth="true" hidden="false" outlineLevel="0" max="30" min="30" style="0" width="8"/>
    <col collapsed="false" customWidth="true" hidden="false" outlineLevel="0" max="31" min="31" style="0" width="10"/>
    <col collapsed="false" customWidth="true" hidden="false" outlineLevel="0" max="32" min="32" style="0" width="18"/>
  </cols>
  <sheetData>
    <row r="2" customFormat="false" ht="21.75" hidden="false" customHeight="true" outlineLevel="0" collapsed="false">
      <c r="B2" s="12" t="s">
        <v>1531</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customFormat="false" ht="53.7" hidden="false" customHeight="true" outlineLevel="0" collapsed="false">
      <c r="B3" s="13" t="s">
        <v>1532</v>
      </c>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row>
    <row r="5" customFormat="false" ht="25.5" hidden="false" customHeight="true" outlineLevel="0" collapsed="false">
      <c r="B5" s="18" t="s">
        <v>1533</v>
      </c>
      <c r="C5" s="18" t="s">
        <v>1079</v>
      </c>
      <c r="D5" s="18" t="s">
        <v>1534</v>
      </c>
      <c r="E5" s="18" t="s">
        <v>416</v>
      </c>
      <c r="F5" s="18" t="s">
        <v>1535</v>
      </c>
      <c r="G5" s="18" t="s">
        <v>1536</v>
      </c>
      <c r="H5" s="18" t="s">
        <v>1537</v>
      </c>
      <c r="I5" s="18" t="s">
        <v>1538</v>
      </c>
      <c r="J5" s="18" t="s">
        <v>1539</v>
      </c>
      <c r="K5" s="18" t="s">
        <v>1540</v>
      </c>
      <c r="L5" s="18" t="s">
        <v>1541</v>
      </c>
      <c r="M5" s="19" t="s">
        <v>1542</v>
      </c>
      <c r="N5" s="19"/>
      <c r="O5" s="19"/>
      <c r="P5" s="19"/>
      <c r="Q5" s="48" t="s">
        <v>1543</v>
      </c>
      <c r="R5" s="48"/>
      <c r="S5" s="48"/>
      <c r="T5" s="48"/>
      <c r="U5" s="18" t="s">
        <v>1544</v>
      </c>
      <c r="V5" s="18" t="s">
        <v>1545</v>
      </c>
      <c r="W5" s="18" t="s">
        <v>1546</v>
      </c>
      <c r="X5" s="18" t="s">
        <v>1547</v>
      </c>
      <c r="Y5" s="18" t="s">
        <v>1548</v>
      </c>
      <c r="Z5" s="18" t="s">
        <v>1549</v>
      </c>
      <c r="AA5" s="18" t="s">
        <v>1550</v>
      </c>
      <c r="AB5" s="18" t="s">
        <v>1551</v>
      </c>
      <c r="AC5" s="18" t="s">
        <v>1552</v>
      </c>
      <c r="AD5" s="18" t="s">
        <v>1553</v>
      </c>
      <c r="AE5" s="18" t="s">
        <v>1554</v>
      </c>
      <c r="AF5" s="18" t="s">
        <v>1555</v>
      </c>
    </row>
    <row r="6" customFormat="false" ht="25.5" hidden="false" customHeight="true" outlineLevel="0" collapsed="false">
      <c r="B6" s="18"/>
      <c r="C6" s="18"/>
      <c r="D6" s="18"/>
      <c r="E6" s="18"/>
      <c r="F6" s="18"/>
      <c r="G6" s="18"/>
      <c r="H6" s="18"/>
      <c r="I6" s="18"/>
      <c r="J6" s="18"/>
      <c r="K6" s="18"/>
      <c r="L6" s="18"/>
      <c r="M6" s="71" t="s">
        <v>821</v>
      </c>
      <c r="N6" s="71" t="s">
        <v>1556</v>
      </c>
      <c r="O6" s="71" t="s">
        <v>820</v>
      </c>
      <c r="P6" s="71" t="s">
        <v>1557</v>
      </c>
      <c r="Q6" s="64" t="s">
        <v>821</v>
      </c>
      <c r="R6" s="64" t="s">
        <v>1556</v>
      </c>
      <c r="S6" s="64" t="s">
        <v>820</v>
      </c>
      <c r="T6" s="64" t="s">
        <v>1557</v>
      </c>
      <c r="U6" s="18"/>
      <c r="V6" s="18"/>
      <c r="W6" s="18"/>
      <c r="X6" s="18"/>
      <c r="Y6" s="18"/>
      <c r="Z6" s="18"/>
      <c r="AA6" s="18"/>
      <c r="AB6" s="18"/>
      <c r="AC6" s="18"/>
      <c r="AD6" s="18"/>
      <c r="AE6" s="18"/>
      <c r="AF6" s="18"/>
    </row>
    <row r="7" customFormat="false" ht="24" hidden="false" customHeight="true" outlineLevel="0" collapsed="false">
      <c r="B7" s="22" t="n">
        <v>1</v>
      </c>
      <c r="C7" s="22"/>
      <c r="D7" s="16"/>
      <c r="E7" s="16"/>
      <c r="F7" s="75"/>
      <c r="G7" s="75"/>
      <c r="H7" s="22" t="str">
        <f aca="false">IFERROR(IF(AND(F7&lt;&gt;"",G7&lt;&gt;""),NETWORKDAYS.INTL(F7,G7,7),""),"")</f>
        <v/>
      </c>
      <c r="I7" s="16"/>
      <c r="J7" s="16"/>
      <c r="K7" s="16"/>
      <c r="L7" s="16"/>
      <c r="M7" s="49"/>
      <c r="N7" s="49"/>
      <c r="O7" s="49"/>
      <c r="P7" s="49"/>
      <c r="Q7" s="49"/>
      <c r="R7" s="49"/>
      <c r="S7" s="49"/>
      <c r="T7" s="49"/>
      <c r="U7" s="22" t="n">
        <f aca="false">IFERROR(SUM(M7:T7),"")</f>
        <v>0</v>
      </c>
      <c r="V7" s="49"/>
      <c r="W7" s="49"/>
      <c r="X7" s="49"/>
      <c r="Y7" s="68" t="str">
        <f aca="false">IFERROR(IF(OR(W7="",X7="",W7=0),"",(X7-W7)/W7),"")</f>
        <v/>
      </c>
      <c r="Z7" s="22" t="str">
        <f aca="false">IF(C7="","",IFERROR(INDEX('8. Activity Tracker'!L:L,MATCH(C7,'8. Activity Tracker'!D:D,0)),"n/a"))</f>
        <v/>
      </c>
      <c r="AA7" s="22" t="str">
        <f aca="false">IFERROR(IF(OR(U7="",ISTEXT(Z7)),"",U7-Z7),"")</f>
        <v/>
      </c>
      <c r="AB7" s="68" t="str">
        <f aca="false">IFERROR(IF(OR(U7="",ISTEXT(Z7),Z7=0),"",U7/Z7),"")</f>
        <v/>
      </c>
      <c r="AC7" s="16" t="str">
        <f aca="false">IF(C7="","",IFERROR(INDEX('8. Activity Tracker'!J:J,MATCH(C7,'8. Activity Tracker'!D:D,0)),"n/a"))</f>
        <v/>
      </c>
      <c r="AD7" s="22" t="str">
        <f aca="false">IFERROR(IF(F7="","","Q"&amp;(ROUNDUP((DATEDIF(DATE(2026,6,1),F7,"m")+1)/3,0))),"")</f>
        <v/>
      </c>
      <c r="AE7" s="22" t="str">
        <f aca="false">IFERROR(IF(F7="","",TEXT(F7,"mmm-yy")),"")</f>
        <v/>
      </c>
      <c r="AF7" s="16"/>
    </row>
    <row r="8" customFormat="false" ht="24" hidden="false" customHeight="true" outlineLevel="0" collapsed="false">
      <c r="B8" s="76" t="n">
        <v>2</v>
      </c>
      <c r="C8" s="76"/>
      <c r="D8" s="17"/>
      <c r="E8" s="17"/>
      <c r="F8" s="77"/>
      <c r="G8" s="77"/>
      <c r="H8" s="76" t="str">
        <f aca="false">IFERROR(IF(AND(F8&lt;&gt;"",G8&lt;&gt;""),NETWORKDAYS.INTL(F8,G8,7),""),"")</f>
        <v/>
      </c>
      <c r="I8" s="17"/>
      <c r="J8" s="17"/>
      <c r="K8" s="17"/>
      <c r="L8" s="17"/>
      <c r="M8" s="76"/>
      <c r="N8" s="76"/>
      <c r="O8" s="76"/>
      <c r="P8" s="76"/>
      <c r="Q8" s="76"/>
      <c r="R8" s="76"/>
      <c r="S8" s="76"/>
      <c r="T8" s="76"/>
      <c r="U8" s="76" t="n">
        <f aca="false">IFERROR(SUM(M8:T8),"")</f>
        <v>0</v>
      </c>
      <c r="V8" s="76"/>
      <c r="W8" s="76"/>
      <c r="X8" s="76"/>
      <c r="Y8" s="78" t="str">
        <f aca="false">IFERROR(IF(OR(W8="",X8="",W8=0),"",(X8-W8)/W8),"")</f>
        <v/>
      </c>
      <c r="Z8" s="76" t="str">
        <f aca="false">IF(C8="","",IFERROR(INDEX('8. Activity Tracker'!L:L,MATCH(C8,'8. Activity Tracker'!D:D,0)),"n/a"))</f>
        <v/>
      </c>
      <c r="AA8" s="76" t="str">
        <f aca="false">IFERROR(IF(OR(U8="",ISTEXT(Z8)),"",U8-Z8),"")</f>
        <v/>
      </c>
      <c r="AB8" s="78" t="str">
        <f aca="false">IFERROR(IF(OR(U8="",ISTEXT(Z8),Z8=0),"",U8/Z8),"")</f>
        <v/>
      </c>
      <c r="AC8" s="17" t="str">
        <f aca="false">IF(C8="","",IFERROR(INDEX('8. Activity Tracker'!J:J,MATCH(C8,'8. Activity Tracker'!D:D,0)),"n/a"))</f>
        <v/>
      </c>
      <c r="AD8" s="76" t="str">
        <f aca="false">IFERROR(IF(F8="","","Q"&amp;(ROUNDUP((DATEDIF(DATE(2026,6,1),F8,"m")+1)/3,0))),"")</f>
        <v/>
      </c>
      <c r="AE8" s="76" t="str">
        <f aca="false">IFERROR(IF(F8="","",TEXT(F8,"mmm-yy")),"")</f>
        <v/>
      </c>
      <c r="AF8" s="17"/>
    </row>
    <row r="9" customFormat="false" ht="24" hidden="false" customHeight="true" outlineLevel="0" collapsed="false">
      <c r="B9" s="22" t="n">
        <v>3</v>
      </c>
      <c r="C9" s="22"/>
      <c r="D9" s="16"/>
      <c r="E9" s="16"/>
      <c r="F9" s="75"/>
      <c r="G9" s="75"/>
      <c r="H9" s="22" t="str">
        <f aca="false">IFERROR(IF(AND(F9&lt;&gt;"",G9&lt;&gt;""),NETWORKDAYS.INTL(F9,G9,7),""),"")</f>
        <v/>
      </c>
      <c r="I9" s="16"/>
      <c r="J9" s="16"/>
      <c r="K9" s="16"/>
      <c r="L9" s="16"/>
      <c r="M9" s="49"/>
      <c r="N9" s="49"/>
      <c r="O9" s="49"/>
      <c r="P9" s="49"/>
      <c r="Q9" s="49"/>
      <c r="R9" s="49"/>
      <c r="S9" s="49"/>
      <c r="T9" s="49"/>
      <c r="U9" s="22" t="n">
        <f aca="false">IFERROR(SUM(M9:T9),"")</f>
        <v>0</v>
      </c>
      <c r="V9" s="49"/>
      <c r="W9" s="49"/>
      <c r="X9" s="49"/>
      <c r="Y9" s="68" t="str">
        <f aca="false">IFERROR(IF(OR(W9="",X9="",W9=0),"",(X9-W9)/W9),"")</f>
        <v/>
      </c>
      <c r="Z9" s="22" t="str">
        <f aca="false">IF(C9="","",IFERROR(INDEX('8. Activity Tracker'!L:L,MATCH(C9,'8. Activity Tracker'!D:D,0)),"n/a"))</f>
        <v/>
      </c>
      <c r="AA9" s="22" t="str">
        <f aca="false">IFERROR(IF(OR(U9="",ISTEXT(Z9)),"",U9-Z9),"")</f>
        <v/>
      </c>
      <c r="AB9" s="68" t="str">
        <f aca="false">IFERROR(IF(OR(U9="",ISTEXT(Z9),Z9=0),"",U9/Z9),"")</f>
        <v/>
      </c>
      <c r="AC9" s="16" t="str">
        <f aca="false">IF(C9="","",IFERROR(INDEX('8. Activity Tracker'!J:J,MATCH(C9,'8. Activity Tracker'!D:D,0)),"n/a"))</f>
        <v/>
      </c>
      <c r="AD9" s="22" t="str">
        <f aca="false">IFERROR(IF(F9="","","Q"&amp;(ROUNDUP((DATEDIF(DATE(2026,6,1),F9,"m")+1)/3,0))),"")</f>
        <v/>
      </c>
      <c r="AE9" s="22" t="str">
        <f aca="false">IFERROR(IF(F9="","",TEXT(F9,"mmm-yy")),"")</f>
        <v/>
      </c>
      <c r="AF9" s="16"/>
    </row>
    <row r="10" customFormat="false" ht="24" hidden="false" customHeight="true" outlineLevel="0" collapsed="false">
      <c r="B10" s="76" t="n">
        <v>4</v>
      </c>
      <c r="C10" s="76"/>
      <c r="D10" s="17"/>
      <c r="E10" s="17"/>
      <c r="F10" s="77"/>
      <c r="G10" s="77"/>
      <c r="H10" s="76" t="str">
        <f aca="false">IFERROR(IF(AND(F10&lt;&gt;"",G10&lt;&gt;""),NETWORKDAYS.INTL(F10,G10,7),""),"")</f>
        <v/>
      </c>
      <c r="I10" s="17"/>
      <c r="J10" s="17"/>
      <c r="K10" s="17"/>
      <c r="L10" s="17"/>
      <c r="M10" s="76"/>
      <c r="N10" s="76"/>
      <c r="O10" s="76"/>
      <c r="P10" s="76"/>
      <c r="Q10" s="76"/>
      <c r="R10" s="76"/>
      <c r="S10" s="76"/>
      <c r="T10" s="76"/>
      <c r="U10" s="76" t="n">
        <f aca="false">IFERROR(SUM(M10:T10),"")</f>
        <v>0</v>
      </c>
      <c r="V10" s="76"/>
      <c r="W10" s="76"/>
      <c r="X10" s="76"/>
      <c r="Y10" s="78" t="str">
        <f aca="false">IFERROR(IF(OR(W10="",X10="",W10=0),"",(X10-W10)/W10),"")</f>
        <v/>
      </c>
      <c r="Z10" s="76" t="str">
        <f aca="false">IF(C10="","",IFERROR(INDEX('8. Activity Tracker'!L:L,MATCH(C10,'8. Activity Tracker'!D:D,0)),"n/a"))</f>
        <v/>
      </c>
      <c r="AA10" s="76" t="str">
        <f aca="false">IFERROR(IF(OR(U10="",ISTEXT(Z10)),"",U10-Z10),"")</f>
        <v/>
      </c>
      <c r="AB10" s="78" t="str">
        <f aca="false">IFERROR(IF(OR(U10="",ISTEXT(Z10),Z10=0),"",U10/Z10),"")</f>
        <v/>
      </c>
      <c r="AC10" s="17" t="str">
        <f aca="false">IF(C10="","",IFERROR(INDEX('8. Activity Tracker'!J:J,MATCH(C10,'8. Activity Tracker'!D:D,0)),"n/a"))</f>
        <v/>
      </c>
      <c r="AD10" s="76" t="str">
        <f aca="false">IFERROR(IF(F10="","","Q"&amp;(ROUNDUP((DATEDIF(DATE(2026,6,1),F10,"m")+1)/3,0))),"")</f>
        <v/>
      </c>
      <c r="AE10" s="76" t="str">
        <f aca="false">IFERROR(IF(F10="","",TEXT(F10,"mmm-yy")),"")</f>
        <v/>
      </c>
      <c r="AF10" s="17"/>
    </row>
    <row r="11" customFormat="false" ht="24" hidden="false" customHeight="true" outlineLevel="0" collapsed="false">
      <c r="B11" s="22" t="n">
        <v>5</v>
      </c>
      <c r="C11" s="22"/>
      <c r="D11" s="16"/>
      <c r="E11" s="16"/>
      <c r="F11" s="75"/>
      <c r="G11" s="75"/>
      <c r="H11" s="22" t="str">
        <f aca="false">IFERROR(IF(AND(F11&lt;&gt;"",G11&lt;&gt;""),NETWORKDAYS.INTL(F11,G11,7),""),"")</f>
        <v/>
      </c>
      <c r="I11" s="16"/>
      <c r="J11" s="16"/>
      <c r="K11" s="16"/>
      <c r="L11" s="16"/>
      <c r="M11" s="49"/>
      <c r="N11" s="49"/>
      <c r="O11" s="49"/>
      <c r="P11" s="49"/>
      <c r="Q11" s="49"/>
      <c r="R11" s="49"/>
      <c r="S11" s="49"/>
      <c r="T11" s="49"/>
      <c r="U11" s="22" t="n">
        <f aca="false">IFERROR(SUM(M11:T11),"")</f>
        <v>0</v>
      </c>
      <c r="V11" s="49"/>
      <c r="W11" s="49"/>
      <c r="X11" s="49"/>
      <c r="Y11" s="68" t="str">
        <f aca="false">IFERROR(IF(OR(W11="",X11="",W11=0),"",(X11-W11)/W11),"")</f>
        <v/>
      </c>
      <c r="Z11" s="22" t="str">
        <f aca="false">IF(C11="","",IFERROR(INDEX('8. Activity Tracker'!L:L,MATCH(C11,'8. Activity Tracker'!D:D,0)),"n/a"))</f>
        <v/>
      </c>
      <c r="AA11" s="22" t="str">
        <f aca="false">IFERROR(IF(OR(U11="",ISTEXT(Z11)),"",U11-Z11),"")</f>
        <v/>
      </c>
      <c r="AB11" s="68" t="str">
        <f aca="false">IFERROR(IF(OR(U11="",ISTEXT(Z11),Z11=0),"",U11/Z11),"")</f>
        <v/>
      </c>
      <c r="AC11" s="16" t="str">
        <f aca="false">IF(C11="","",IFERROR(INDEX('8. Activity Tracker'!J:J,MATCH(C11,'8. Activity Tracker'!D:D,0)),"n/a"))</f>
        <v/>
      </c>
      <c r="AD11" s="22" t="str">
        <f aca="false">IFERROR(IF(F11="","","Q"&amp;(ROUNDUP((DATEDIF(DATE(2026,6,1),F11,"m")+1)/3,0))),"")</f>
        <v/>
      </c>
      <c r="AE11" s="22" t="str">
        <f aca="false">IFERROR(IF(F11="","",TEXT(F11,"mmm-yy")),"")</f>
        <v/>
      </c>
      <c r="AF11" s="16"/>
    </row>
    <row r="12" customFormat="false" ht="24" hidden="false" customHeight="true" outlineLevel="0" collapsed="false">
      <c r="B12" s="76" t="n">
        <v>6</v>
      </c>
      <c r="C12" s="76"/>
      <c r="D12" s="17"/>
      <c r="E12" s="17"/>
      <c r="F12" s="77"/>
      <c r="G12" s="77"/>
      <c r="H12" s="76" t="str">
        <f aca="false">IFERROR(IF(AND(F12&lt;&gt;"",G12&lt;&gt;""),NETWORKDAYS.INTL(F12,G12,7),""),"")</f>
        <v/>
      </c>
      <c r="I12" s="17"/>
      <c r="J12" s="17"/>
      <c r="K12" s="17"/>
      <c r="L12" s="17"/>
      <c r="M12" s="76"/>
      <c r="N12" s="76"/>
      <c r="O12" s="76"/>
      <c r="P12" s="76"/>
      <c r="Q12" s="76"/>
      <c r="R12" s="76"/>
      <c r="S12" s="76"/>
      <c r="T12" s="76"/>
      <c r="U12" s="76" t="n">
        <f aca="false">IFERROR(SUM(M12:T12),"")</f>
        <v>0</v>
      </c>
      <c r="V12" s="76"/>
      <c r="W12" s="76"/>
      <c r="X12" s="76"/>
      <c r="Y12" s="78" t="str">
        <f aca="false">IFERROR(IF(OR(W12="",X12="",W12=0),"",(X12-W12)/W12),"")</f>
        <v/>
      </c>
      <c r="Z12" s="76" t="str">
        <f aca="false">IF(C12="","",IFERROR(INDEX('8. Activity Tracker'!L:L,MATCH(C12,'8. Activity Tracker'!D:D,0)),"n/a"))</f>
        <v/>
      </c>
      <c r="AA12" s="76" t="str">
        <f aca="false">IFERROR(IF(OR(U12="",ISTEXT(Z12)),"",U12-Z12),"")</f>
        <v/>
      </c>
      <c r="AB12" s="78" t="str">
        <f aca="false">IFERROR(IF(OR(U12="",ISTEXT(Z12),Z12=0),"",U12/Z12),"")</f>
        <v/>
      </c>
      <c r="AC12" s="17" t="str">
        <f aca="false">IF(C12="","",IFERROR(INDEX('8. Activity Tracker'!J:J,MATCH(C12,'8. Activity Tracker'!D:D,0)),"n/a"))</f>
        <v/>
      </c>
      <c r="AD12" s="76" t="str">
        <f aca="false">IFERROR(IF(F12="","","Q"&amp;(ROUNDUP((DATEDIF(DATE(2026,6,1),F12,"m")+1)/3,0))),"")</f>
        <v/>
      </c>
      <c r="AE12" s="76" t="str">
        <f aca="false">IFERROR(IF(F12="","",TEXT(F12,"mmm-yy")),"")</f>
        <v/>
      </c>
      <c r="AF12" s="17"/>
    </row>
    <row r="13" customFormat="false" ht="24" hidden="false" customHeight="true" outlineLevel="0" collapsed="false">
      <c r="B13" s="22" t="n">
        <v>7</v>
      </c>
      <c r="C13" s="22"/>
      <c r="D13" s="16"/>
      <c r="E13" s="16"/>
      <c r="F13" s="75"/>
      <c r="G13" s="75"/>
      <c r="H13" s="22" t="str">
        <f aca="false">IFERROR(IF(AND(F13&lt;&gt;"",G13&lt;&gt;""),NETWORKDAYS.INTL(F13,G13,7),""),"")</f>
        <v/>
      </c>
      <c r="I13" s="16"/>
      <c r="J13" s="16"/>
      <c r="K13" s="16"/>
      <c r="L13" s="16"/>
      <c r="M13" s="49"/>
      <c r="N13" s="49"/>
      <c r="O13" s="49"/>
      <c r="P13" s="49"/>
      <c r="Q13" s="49"/>
      <c r="R13" s="49"/>
      <c r="S13" s="49"/>
      <c r="T13" s="49"/>
      <c r="U13" s="22" t="n">
        <f aca="false">IFERROR(SUM(M13:T13),"")</f>
        <v>0</v>
      </c>
      <c r="V13" s="49"/>
      <c r="W13" s="49"/>
      <c r="X13" s="49"/>
      <c r="Y13" s="68" t="str">
        <f aca="false">IFERROR(IF(OR(W13="",X13="",W13=0),"",(X13-W13)/W13),"")</f>
        <v/>
      </c>
      <c r="Z13" s="22" t="str">
        <f aca="false">IF(C13="","",IFERROR(INDEX('8. Activity Tracker'!L:L,MATCH(C13,'8. Activity Tracker'!D:D,0)),"n/a"))</f>
        <v/>
      </c>
      <c r="AA13" s="22" t="str">
        <f aca="false">IFERROR(IF(OR(U13="",ISTEXT(Z13)),"",U13-Z13),"")</f>
        <v/>
      </c>
      <c r="AB13" s="68" t="str">
        <f aca="false">IFERROR(IF(OR(U13="",ISTEXT(Z13),Z13=0),"",U13/Z13),"")</f>
        <v/>
      </c>
      <c r="AC13" s="16" t="str">
        <f aca="false">IF(C13="","",IFERROR(INDEX('8. Activity Tracker'!J:J,MATCH(C13,'8. Activity Tracker'!D:D,0)),"n/a"))</f>
        <v/>
      </c>
      <c r="AD13" s="22" t="str">
        <f aca="false">IFERROR(IF(F13="","","Q"&amp;(ROUNDUP((DATEDIF(DATE(2026,6,1),F13,"m")+1)/3,0))),"")</f>
        <v/>
      </c>
      <c r="AE13" s="22" t="str">
        <f aca="false">IFERROR(IF(F13="","",TEXT(F13,"mmm-yy")),"")</f>
        <v/>
      </c>
      <c r="AF13" s="16"/>
    </row>
    <row r="14" customFormat="false" ht="24" hidden="false" customHeight="true" outlineLevel="0" collapsed="false">
      <c r="B14" s="76" t="n">
        <v>8</v>
      </c>
      <c r="C14" s="76"/>
      <c r="D14" s="17"/>
      <c r="E14" s="17"/>
      <c r="F14" s="77"/>
      <c r="G14" s="77"/>
      <c r="H14" s="76" t="str">
        <f aca="false">IFERROR(IF(AND(F14&lt;&gt;"",G14&lt;&gt;""),NETWORKDAYS.INTL(F14,G14,7),""),"")</f>
        <v/>
      </c>
      <c r="I14" s="17"/>
      <c r="J14" s="17"/>
      <c r="K14" s="17"/>
      <c r="L14" s="17"/>
      <c r="M14" s="76"/>
      <c r="N14" s="76"/>
      <c r="O14" s="76"/>
      <c r="P14" s="76"/>
      <c r="Q14" s="76"/>
      <c r="R14" s="76"/>
      <c r="S14" s="76"/>
      <c r="T14" s="76"/>
      <c r="U14" s="76" t="n">
        <f aca="false">IFERROR(SUM(M14:T14),"")</f>
        <v>0</v>
      </c>
      <c r="V14" s="76"/>
      <c r="W14" s="76"/>
      <c r="X14" s="76"/>
      <c r="Y14" s="78" t="str">
        <f aca="false">IFERROR(IF(OR(W14="",X14="",W14=0),"",(X14-W14)/W14),"")</f>
        <v/>
      </c>
      <c r="Z14" s="76" t="str">
        <f aca="false">IF(C14="","",IFERROR(INDEX('8. Activity Tracker'!L:L,MATCH(C14,'8. Activity Tracker'!D:D,0)),"n/a"))</f>
        <v/>
      </c>
      <c r="AA14" s="76" t="str">
        <f aca="false">IFERROR(IF(OR(U14="",ISTEXT(Z14)),"",U14-Z14),"")</f>
        <v/>
      </c>
      <c r="AB14" s="78" t="str">
        <f aca="false">IFERROR(IF(OR(U14="",ISTEXT(Z14),Z14=0),"",U14/Z14),"")</f>
        <v/>
      </c>
      <c r="AC14" s="17" t="str">
        <f aca="false">IF(C14="","",IFERROR(INDEX('8. Activity Tracker'!J:J,MATCH(C14,'8. Activity Tracker'!D:D,0)),"n/a"))</f>
        <v/>
      </c>
      <c r="AD14" s="76" t="str">
        <f aca="false">IFERROR(IF(F14="","","Q"&amp;(ROUNDUP((DATEDIF(DATE(2026,6,1),F14,"m")+1)/3,0))),"")</f>
        <v/>
      </c>
      <c r="AE14" s="76" t="str">
        <f aca="false">IFERROR(IF(F14="","",TEXT(F14,"mmm-yy")),"")</f>
        <v/>
      </c>
      <c r="AF14" s="17"/>
    </row>
    <row r="15" customFormat="false" ht="24" hidden="false" customHeight="true" outlineLevel="0" collapsed="false">
      <c r="B15" s="22" t="n">
        <v>9</v>
      </c>
      <c r="C15" s="22"/>
      <c r="D15" s="16"/>
      <c r="E15" s="16"/>
      <c r="F15" s="75"/>
      <c r="G15" s="75"/>
      <c r="H15" s="22" t="str">
        <f aca="false">IFERROR(IF(AND(F15&lt;&gt;"",G15&lt;&gt;""),NETWORKDAYS.INTL(F15,G15,7),""),"")</f>
        <v/>
      </c>
      <c r="I15" s="16"/>
      <c r="J15" s="16"/>
      <c r="K15" s="16"/>
      <c r="L15" s="16"/>
      <c r="M15" s="49"/>
      <c r="N15" s="49"/>
      <c r="O15" s="49"/>
      <c r="P15" s="49"/>
      <c r="Q15" s="49"/>
      <c r="R15" s="49"/>
      <c r="S15" s="49"/>
      <c r="T15" s="49"/>
      <c r="U15" s="22" t="n">
        <f aca="false">IFERROR(SUM(M15:T15),"")</f>
        <v>0</v>
      </c>
      <c r="V15" s="49"/>
      <c r="W15" s="49"/>
      <c r="X15" s="49"/>
      <c r="Y15" s="68" t="str">
        <f aca="false">IFERROR(IF(OR(W15="",X15="",W15=0),"",(X15-W15)/W15),"")</f>
        <v/>
      </c>
      <c r="Z15" s="22" t="str">
        <f aca="false">IF(C15="","",IFERROR(INDEX('8. Activity Tracker'!L:L,MATCH(C15,'8. Activity Tracker'!D:D,0)),"n/a"))</f>
        <v/>
      </c>
      <c r="AA15" s="22" t="str">
        <f aca="false">IFERROR(IF(OR(U15="",ISTEXT(Z15)),"",U15-Z15),"")</f>
        <v/>
      </c>
      <c r="AB15" s="68" t="str">
        <f aca="false">IFERROR(IF(OR(U15="",ISTEXT(Z15),Z15=0),"",U15/Z15),"")</f>
        <v/>
      </c>
      <c r="AC15" s="16" t="str">
        <f aca="false">IF(C15="","",IFERROR(INDEX('8. Activity Tracker'!J:J,MATCH(C15,'8. Activity Tracker'!D:D,0)),"n/a"))</f>
        <v/>
      </c>
      <c r="AD15" s="22" t="str">
        <f aca="false">IFERROR(IF(F15="","","Q"&amp;(ROUNDUP((DATEDIF(DATE(2026,6,1),F15,"m")+1)/3,0))),"")</f>
        <v/>
      </c>
      <c r="AE15" s="22" t="str">
        <f aca="false">IFERROR(IF(F15="","",TEXT(F15,"mmm-yy")),"")</f>
        <v/>
      </c>
      <c r="AF15" s="16"/>
    </row>
    <row r="16" customFormat="false" ht="24" hidden="false" customHeight="true" outlineLevel="0" collapsed="false">
      <c r="B16" s="76" t="n">
        <v>10</v>
      </c>
      <c r="C16" s="76"/>
      <c r="D16" s="17"/>
      <c r="E16" s="17"/>
      <c r="F16" s="77"/>
      <c r="G16" s="77"/>
      <c r="H16" s="76" t="str">
        <f aca="false">IFERROR(IF(AND(F16&lt;&gt;"",G16&lt;&gt;""),NETWORKDAYS.INTL(F16,G16,7),""),"")</f>
        <v/>
      </c>
      <c r="I16" s="17"/>
      <c r="J16" s="17"/>
      <c r="K16" s="17"/>
      <c r="L16" s="17"/>
      <c r="M16" s="76"/>
      <c r="N16" s="76"/>
      <c r="O16" s="76"/>
      <c r="P16" s="76"/>
      <c r="Q16" s="76"/>
      <c r="R16" s="76"/>
      <c r="S16" s="76"/>
      <c r="T16" s="76"/>
      <c r="U16" s="76" t="n">
        <f aca="false">IFERROR(SUM(M16:T16),"")</f>
        <v>0</v>
      </c>
      <c r="V16" s="76"/>
      <c r="W16" s="76"/>
      <c r="X16" s="76"/>
      <c r="Y16" s="78" t="str">
        <f aca="false">IFERROR(IF(OR(W16="",X16="",W16=0),"",(X16-W16)/W16),"")</f>
        <v/>
      </c>
      <c r="Z16" s="76" t="str">
        <f aca="false">IF(C16="","",IFERROR(INDEX('8. Activity Tracker'!L:L,MATCH(C16,'8. Activity Tracker'!D:D,0)),"n/a"))</f>
        <v/>
      </c>
      <c r="AA16" s="76" t="str">
        <f aca="false">IFERROR(IF(OR(U16="",ISTEXT(Z16)),"",U16-Z16),"")</f>
        <v/>
      </c>
      <c r="AB16" s="78" t="str">
        <f aca="false">IFERROR(IF(OR(U16="",ISTEXT(Z16),Z16=0),"",U16/Z16),"")</f>
        <v/>
      </c>
      <c r="AC16" s="17" t="str">
        <f aca="false">IF(C16="","",IFERROR(INDEX('8. Activity Tracker'!J:J,MATCH(C16,'8. Activity Tracker'!D:D,0)),"n/a"))</f>
        <v/>
      </c>
      <c r="AD16" s="76" t="str">
        <f aca="false">IFERROR(IF(F16="","","Q"&amp;(ROUNDUP((DATEDIF(DATE(2026,6,1),F16,"m")+1)/3,0))),"")</f>
        <v/>
      </c>
      <c r="AE16" s="76" t="str">
        <f aca="false">IFERROR(IF(F16="","",TEXT(F16,"mmm-yy")),"")</f>
        <v/>
      </c>
      <c r="AF16" s="17"/>
    </row>
    <row r="17" customFormat="false" ht="24" hidden="false" customHeight="true" outlineLevel="0" collapsed="false">
      <c r="B17" s="22" t="n">
        <v>11</v>
      </c>
      <c r="C17" s="22"/>
      <c r="D17" s="16"/>
      <c r="E17" s="16"/>
      <c r="F17" s="75"/>
      <c r="G17" s="75"/>
      <c r="H17" s="22" t="str">
        <f aca="false">IFERROR(IF(AND(F17&lt;&gt;"",G17&lt;&gt;""),NETWORKDAYS.INTL(F17,G17,7),""),"")</f>
        <v/>
      </c>
      <c r="I17" s="16"/>
      <c r="J17" s="16"/>
      <c r="K17" s="16"/>
      <c r="L17" s="16"/>
      <c r="M17" s="49"/>
      <c r="N17" s="49"/>
      <c r="O17" s="49"/>
      <c r="P17" s="49"/>
      <c r="Q17" s="49"/>
      <c r="R17" s="49"/>
      <c r="S17" s="49"/>
      <c r="T17" s="49"/>
      <c r="U17" s="22" t="n">
        <f aca="false">IFERROR(SUM(M17:T17),"")</f>
        <v>0</v>
      </c>
      <c r="V17" s="49"/>
      <c r="W17" s="49"/>
      <c r="X17" s="49"/>
      <c r="Y17" s="68" t="str">
        <f aca="false">IFERROR(IF(OR(W17="",X17="",W17=0),"",(X17-W17)/W17),"")</f>
        <v/>
      </c>
      <c r="Z17" s="22" t="str">
        <f aca="false">IF(C17="","",IFERROR(INDEX('8. Activity Tracker'!L:L,MATCH(C17,'8. Activity Tracker'!D:D,0)),"n/a"))</f>
        <v/>
      </c>
      <c r="AA17" s="22" t="str">
        <f aca="false">IFERROR(IF(OR(U17="",ISTEXT(Z17)),"",U17-Z17),"")</f>
        <v/>
      </c>
      <c r="AB17" s="68" t="str">
        <f aca="false">IFERROR(IF(OR(U17="",ISTEXT(Z17),Z17=0),"",U17/Z17),"")</f>
        <v/>
      </c>
      <c r="AC17" s="16" t="str">
        <f aca="false">IF(C17="","",IFERROR(INDEX('8. Activity Tracker'!J:J,MATCH(C17,'8. Activity Tracker'!D:D,0)),"n/a"))</f>
        <v/>
      </c>
      <c r="AD17" s="22" t="str">
        <f aca="false">IFERROR(IF(F17="","","Q"&amp;(ROUNDUP((DATEDIF(DATE(2026,6,1),F17,"m")+1)/3,0))),"")</f>
        <v/>
      </c>
      <c r="AE17" s="22" t="str">
        <f aca="false">IFERROR(IF(F17="","",TEXT(F17,"mmm-yy")),"")</f>
        <v/>
      </c>
      <c r="AF17" s="16"/>
    </row>
    <row r="18" customFormat="false" ht="24" hidden="false" customHeight="true" outlineLevel="0" collapsed="false">
      <c r="B18" s="76" t="n">
        <v>12</v>
      </c>
      <c r="C18" s="76"/>
      <c r="D18" s="17"/>
      <c r="E18" s="17"/>
      <c r="F18" s="77"/>
      <c r="G18" s="77"/>
      <c r="H18" s="76" t="str">
        <f aca="false">IFERROR(IF(AND(F18&lt;&gt;"",G18&lt;&gt;""),NETWORKDAYS.INTL(F18,G18,7),""),"")</f>
        <v/>
      </c>
      <c r="I18" s="17"/>
      <c r="J18" s="17"/>
      <c r="K18" s="17"/>
      <c r="L18" s="17"/>
      <c r="M18" s="76"/>
      <c r="N18" s="76"/>
      <c r="O18" s="76"/>
      <c r="P18" s="76"/>
      <c r="Q18" s="76"/>
      <c r="R18" s="76"/>
      <c r="S18" s="76"/>
      <c r="T18" s="76"/>
      <c r="U18" s="76" t="n">
        <f aca="false">IFERROR(SUM(M18:T18),"")</f>
        <v>0</v>
      </c>
      <c r="V18" s="76"/>
      <c r="W18" s="76"/>
      <c r="X18" s="76"/>
      <c r="Y18" s="78" t="str">
        <f aca="false">IFERROR(IF(OR(W18="",X18="",W18=0),"",(X18-W18)/W18),"")</f>
        <v/>
      </c>
      <c r="Z18" s="76" t="str">
        <f aca="false">IF(C18="","",IFERROR(INDEX('8. Activity Tracker'!L:L,MATCH(C18,'8. Activity Tracker'!D:D,0)),"n/a"))</f>
        <v/>
      </c>
      <c r="AA18" s="76" t="str">
        <f aca="false">IFERROR(IF(OR(U18="",ISTEXT(Z18)),"",U18-Z18),"")</f>
        <v/>
      </c>
      <c r="AB18" s="78" t="str">
        <f aca="false">IFERROR(IF(OR(U18="",ISTEXT(Z18),Z18=0),"",U18/Z18),"")</f>
        <v/>
      </c>
      <c r="AC18" s="17" t="str">
        <f aca="false">IF(C18="","",IFERROR(INDEX('8. Activity Tracker'!J:J,MATCH(C18,'8. Activity Tracker'!D:D,0)),"n/a"))</f>
        <v/>
      </c>
      <c r="AD18" s="76" t="str">
        <f aca="false">IFERROR(IF(F18="","","Q"&amp;(ROUNDUP((DATEDIF(DATE(2026,6,1),F18,"m")+1)/3,0))),"")</f>
        <v/>
      </c>
      <c r="AE18" s="76" t="str">
        <f aca="false">IFERROR(IF(F18="","",TEXT(F18,"mmm-yy")),"")</f>
        <v/>
      </c>
      <c r="AF18" s="17"/>
    </row>
    <row r="19" customFormat="false" ht="24" hidden="false" customHeight="true" outlineLevel="0" collapsed="false">
      <c r="B19" s="22" t="n">
        <v>13</v>
      </c>
      <c r="C19" s="22"/>
      <c r="D19" s="16"/>
      <c r="E19" s="16"/>
      <c r="F19" s="75"/>
      <c r="G19" s="75"/>
      <c r="H19" s="22" t="str">
        <f aca="false">IFERROR(IF(AND(F19&lt;&gt;"",G19&lt;&gt;""),NETWORKDAYS.INTL(F19,G19,7),""),"")</f>
        <v/>
      </c>
      <c r="I19" s="16"/>
      <c r="J19" s="16"/>
      <c r="K19" s="16"/>
      <c r="L19" s="16"/>
      <c r="M19" s="49"/>
      <c r="N19" s="49"/>
      <c r="O19" s="49"/>
      <c r="P19" s="49"/>
      <c r="Q19" s="49"/>
      <c r="R19" s="49"/>
      <c r="S19" s="49"/>
      <c r="T19" s="49"/>
      <c r="U19" s="22" t="n">
        <f aca="false">IFERROR(SUM(M19:T19),"")</f>
        <v>0</v>
      </c>
      <c r="V19" s="49"/>
      <c r="W19" s="49"/>
      <c r="X19" s="49"/>
      <c r="Y19" s="68" t="str">
        <f aca="false">IFERROR(IF(OR(W19="",X19="",W19=0),"",(X19-W19)/W19),"")</f>
        <v/>
      </c>
      <c r="Z19" s="22" t="str">
        <f aca="false">IF(C19="","",IFERROR(INDEX('8. Activity Tracker'!L:L,MATCH(C19,'8. Activity Tracker'!D:D,0)),"n/a"))</f>
        <v/>
      </c>
      <c r="AA19" s="22" t="str">
        <f aca="false">IFERROR(IF(OR(U19="",ISTEXT(Z19)),"",U19-Z19),"")</f>
        <v/>
      </c>
      <c r="AB19" s="68" t="str">
        <f aca="false">IFERROR(IF(OR(U19="",ISTEXT(Z19),Z19=0),"",U19/Z19),"")</f>
        <v/>
      </c>
      <c r="AC19" s="16" t="str">
        <f aca="false">IF(C19="","",IFERROR(INDEX('8. Activity Tracker'!J:J,MATCH(C19,'8. Activity Tracker'!D:D,0)),"n/a"))</f>
        <v/>
      </c>
      <c r="AD19" s="22" t="str">
        <f aca="false">IFERROR(IF(F19="","","Q"&amp;(ROUNDUP((DATEDIF(DATE(2026,6,1),F19,"m")+1)/3,0))),"")</f>
        <v/>
      </c>
      <c r="AE19" s="22" t="str">
        <f aca="false">IFERROR(IF(F19="","",TEXT(F19,"mmm-yy")),"")</f>
        <v/>
      </c>
      <c r="AF19" s="16"/>
    </row>
    <row r="20" customFormat="false" ht="24" hidden="false" customHeight="true" outlineLevel="0" collapsed="false">
      <c r="B20" s="76" t="n">
        <v>14</v>
      </c>
      <c r="C20" s="76"/>
      <c r="D20" s="17"/>
      <c r="E20" s="17"/>
      <c r="F20" s="77"/>
      <c r="G20" s="77"/>
      <c r="H20" s="76" t="str">
        <f aca="false">IFERROR(IF(AND(F20&lt;&gt;"",G20&lt;&gt;""),NETWORKDAYS.INTL(F20,G20,7),""),"")</f>
        <v/>
      </c>
      <c r="I20" s="17"/>
      <c r="J20" s="17"/>
      <c r="K20" s="17"/>
      <c r="L20" s="17"/>
      <c r="M20" s="76"/>
      <c r="N20" s="76"/>
      <c r="O20" s="76"/>
      <c r="P20" s="76"/>
      <c r="Q20" s="76"/>
      <c r="R20" s="76"/>
      <c r="S20" s="76"/>
      <c r="T20" s="76"/>
      <c r="U20" s="76" t="n">
        <f aca="false">IFERROR(SUM(M20:T20),"")</f>
        <v>0</v>
      </c>
      <c r="V20" s="76"/>
      <c r="W20" s="76"/>
      <c r="X20" s="76"/>
      <c r="Y20" s="78" t="str">
        <f aca="false">IFERROR(IF(OR(W20="",X20="",W20=0),"",(X20-W20)/W20),"")</f>
        <v/>
      </c>
      <c r="Z20" s="76" t="str">
        <f aca="false">IF(C20="","",IFERROR(INDEX('8. Activity Tracker'!L:L,MATCH(C20,'8. Activity Tracker'!D:D,0)),"n/a"))</f>
        <v/>
      </c>
      <c r="AA20" s="76" t="str">
        <f aca="false">IFERROR(IF(OR(U20="",ISTEXT(Z20)),"",U20-Z20),"")</f>
        <v/>
      </c>
      <c r="AB20" s="78" t="str">
        <f aca="false">IFERROR(IF(OR(U20="",ISTEXT(Z20),Z20=0),"",U20/Z20),"")</f>
        <v/>
      </c>
      <c r="AC20" s="17" t="str">
        <f aca="false">IF(C20="","",IFERROR(INDEX('8. Activity Tracker'!J:J,MATCH(C20,'8. Activity Tracker'!D:D,0)),"n/a"))</f>
        <v/>
      </c>
      <c r="AD20" s="76" t="str">
        <f aca="false">IFERROR(IF(F20="","","Q"&amp;(ROUNDUP((DATEDIF(DATE(2026,6,1),F20,"m")+1)/3,0))),"")</f>
        <v/>
      </c>
      <c r="AE20" s="76" t="str">
        <f aca="false">IFERROR(IF(F20="","",TEXT(F20,"mmm-yy")),"")</f>
        <v/>
      </c>
      <c r="AF20" s="17"/>
    </row>
    <row r="21" customFormat="false" ht="24" hidden="false" customHeight="true" outlineLevel="0" collapsed="false">
      <c r="B21" s="22" t="n">
        <v>15</v>
      </c>
      <c r="C21" s="22"/>
      <c r="D21" s="16"/>
      <c r="E21" s="16"/>
      <c r="F21" s="75"/>
      <c r="G21" s="75"/>
      <c r="H21" s="22" t="str">
        <f aca="false">IFERROR(IF(AND(F21&lt;&gt;"",G21&lt;&gt;""),NETWORKDAYS.INTL(F21,G21,7),""),"")</f>
        <v/>
      </c>
      <c r="I21" s="16"/>
      <c r="J21" s="16"/>
      <c r="K21" s="16"/>
      <c r="L21" s="16"/>
      <c r="M21" s="49"/>
      <c r="N21" s="49"/>
      <c r="O21" s="49"/>
      <c r="P21" s="49"/>
      <c r="Q21" s="49"/>
      <c r="R21" s="49"/>
      <c r="S21" s="49"/>
      <c r="T21" s="49"/>
      <c r="U21" s="22" t="n">
        <f aca="false">IFERROR(SUM(M21:T21),"")</f>
        <v>0</v>
      </c>
      <c r="V21" s="49"/>
      <c r="W21" s="49"/>
      <c r="X21" s="49"/>
      <c r="Y21" s="68" t="str">
        <f aca="false">IFERROR(IF(OR(W21="",X21="",W21=0),"",(X21-W21)/W21),"")</f>
        <v/>
      </c>
      <c r="Z21" s="22" t="str">
        <f aca="false">IF(C21="","",IFERROR(INDEX('8. Activity Tracker'!L:L,MATCH(C21,'8. Activity Tracker'!D:D,0)),"n/a"))</f>
        <v/>
      </c>
      <c r="AA21" s="22" t="str">
        <f aca="false">IFERROR(IF(OR(U21="",ISTEXT(Z21)),"",U21-Z21),"")</f>
        <v/>
      </c>
      <c r="AB21" s="68" t="str">
        <f aca="false">IFERROR(IF(OR(U21="",ISTEXT(Z21),Z21=0),"",U21/Z21),"")</f>
        <v/>
      </c>
      <c r="AC21" s="16" t="str">
        <f aca="false">IF(C21="","",IFERROR(INDEX('8. Activity Tracker'!J:J,MATCH(C21,'8. Activity Tracker'!D:D,0)),"n/a"))</f>
        <v/>
      </c>
      <c r="AD21" s="22" t="str">
        <f aca="false">IFERROR(IF(F21="","","Q"&amp;(ROUNDUP((DATEDIF(DATE(2026,6,1),F21,"m")+1)/3,0))),"")</f>
        <v/>
      </c>
      <c r="AE21" s="22" t="str">
        <f aca="false">IFERROR(IF(F21="","",TEXT(F21,"mmm-yy")),"")</f>
        <v/>
      </c>
      <c r="AF21" s="16"/>
    </row>
    <row r="22" customFormat="false" ht="24" hidden="false" customHeight="true" outlineLevel="0" collapsed="false">
      <c r="B22" s="76" t="n">
        <v>16</v>
      </c>
      <c r="C22" s="76"/>
      <c r="D22" s="17"/>
      <c r="E22" s="17"/>
      <c r="F22" s="77"/>
      <c r="G22" s="77"/>
      <c r="H22" s="76" t="str">
        <f aca="false">IFERROR(IF(AND(F22&lt;&gt;"",G22&lt;&gt;""),NETWORKDAYS.INTL(F22,G22,7),""),"")</f>
        <v/>
      </c>
      <c r="I22" s="17"/>
      <c r="J22" s="17"/>
      <c r="K22" s="17"/>
      <c r="L22" s="17"/>
      <c r="M22" s="76"/>
      <c r="N22" s="76"/>
      <c r="O22" s="76"/>
      <c r="P22" s="76"/>
      <c r="Q22" s="76"/>
      <c r="R22" s="76"/>
      <c r="S22" s="76"/>
      <c r="T22" s="76"/>
      <c r="U22" s="76" t="n">
        <f aca="false">IFERROR(SUM(M22:T22),"")</f>
        <v>0</v>
      </c>
      <c r="V22" s="76"/>
      <c r="W22" s="76"/>
      <c r="X22" s="76"/>
      <c r="Y22" s="78" t="str">
        <f aca="false">IFERROR(IF(OR(W22="",X22="",W22=0),"",(X22-W22)/W22),"")</f>
        <v/>
      </c>
      <c r="Z22" s="76" t="str">
        <f aca="false">IF(C22="","",IFERROR(INDEX('8. Activity Tracker'!L:L,MATCH(C22,'8. Activity Tracker'!D:D,0)),"n/a"))</f>
        <v/>
      </c>
      <c r="AA22" s="76" t="str">
        <f aca="false">IFERROR(IF(OR(U22="",ISTEXT(Z22)),"",U22-Z22),"")</f>
        <v/>
      </c>
      <c r="AB22" s="78" t="str">
        <f aca="false">IFERROR(IF(OR(U22="",ISTEXT(Z22),Z22=0),"",U22/Z22),"")</f>
        <v/>
      </c>
      <c r="AC22" s="17" t="str">
        <f aca="false">IF(C22="","",IFERROR(INDEX('8. Activity Tracker'!J:J,MATCH(C22,'8. Activity Tracker'!D:D,0)),"n/a"))</f>
        <v/>
      </c>
      <c r="AD22" s="76" t="str">
        <f aca="false">IFERROR(IF(F22="","","Q"&amp;(ROUNDUP((DATEDIF(DATE(2026,6,1),F22,"m")+1)/3,0))),"")</f>
        <v/>
      </c>
      <c r="AE22" s="76" t="str">
        <f aca="false">IFERROR(IF(F22="","",TEXT(F22,"mmm-yy")),"")</f>
        <v/>
      </c>
      <c r="AF22" s="17"/>
    </row>
    <row r="23" customFormat="false" ht="24" hidden="false" customHeight="true" outlineLevel="0" collapsed="false">
      <c r="B23" s="22" t="n">
        <v>17</v>
      </c>
      <c r="C23" s="22"/>
      <c r="D23" s="16"/>
      <c r="E23" s="16"/>
      <c r="F23" s="75"/>
      <c r="G23" s="75"/>
      <c r="H23" s="22" t="str">
        <f aca="false">IFERROR(IF(AND(F23&lt;&gt;"",G23&lt;&gt;""),NETWORKDAYS.INTL(F23,G23,7),""),"")</f>
        <v/>
      </c>
      <c r="I23" s="16"/>
      <c r="J23" s="16"/>
      <c r="K23" s="16"/>
      <c r="L23" s="16"/>
      <c r="M23" s="49"/>
      <c r="N23" s="49"/>
      <c r="O23" s="49"/>
      <c r="P23" s="49"/>
      <c r="Q23" s="49"/>
      <c r="R23" s="49"/>
      <c r="S23" s="49"/>
      <c r="T23" s="49"/>
      <c r="U23" s="22" t="n">
        <f aca="false">IFERROR(SUM(M23:T23),"")</f>
        <v>0</v>
      </c>
      <c r="V23" s="49"/>
      <c r="W23" s="49"/>
      <c r="X23" s="49"/>
      <c r="Y23" s="68" t="str">
        <f aca="false">IFERROR(IF(OR(W23="",X23="",W23=0),"",(X23-W23)/W23),"")</f>
        <v/>
      </c>
      <c r="Z23" s="22" t="str">
        <f aca="false">IF(C23="","",IFERROR(INDEX('8. Activity Tracker'!L:L,MATCH(C23,'8. Activity Tracker'!D:D,0)),"n/a"))</f>
        <v/>
      </c>
      <c r="AA23" s="22" t="str">
        <f aca="false">IFERROR(IF(OR(U23="",ISTEXT(Z23)),"",U23-Z23),"")</f>
        <v/>
      </c>
      <c r="AB23" s="68" t="str">
        <f aca="false">IFERROR(IF(OR(U23="",ISTEXT(Z23),Z23=0),"",U23/Z23),"")</f>
        <v/>
      </c>
      <c r="AC23" s="16" t="str">
        <f aca="false">IF(C23="","",IFERROR(INDEX('8. Activity Tracker'!J:J,MATCH(C23,'8. Activity Tracker'!D:D,0)),"n/a"))</f>
        <v/>
      </c>
      <c r="AD23" s="22" t="str">
        <f aca="false">IFERROR(IF(F23="","","Q"&amp;(ROUNDUP((DATEDIF(DATE(2026,6,1),F23,"m")+1)/3,0))),"")</f>
        <v/>
      </c>
      <c r="AE23" s="22" t="str">
        <f aca="false">IFERROR(IF(F23="","",TEXT(F23,"mmm-yy")),"")</f>
        <v/>
      </c>
      <c r="AF23" s="16"/>
    </row>
    <row r="24" customFormat="false" ht="24" hidden="false" customHeight="true" outlineLevel="0" collapsed="false">
      <c r="B24" s="76" t="n">
        <v>18</v>
      </c>
      <c r="C24" s="76"/>
      <c r="D24" s="17"/>
      <c r="E24" s="17"/>
      <c r="F24" s="77"/>
      <c r="G24" s="77"/>
      <c r="H24" s="76" t="str">
        <f aca="false">IFERROR(IF(AND(F24&lt;&gt;"",G24&lt;&gt;""),NETWORKDAYS.INTL(F24,G24,7),""),"")</f>
        <v/>
      </c>
      <c r="I24" s="17"/>
      <c r="J24" s="17"/>
      <c r="K24" s="17"/>
      <c r="L24" s="17"/>
      <c r="M24" s="76"/>
      <c r="N24" s="76"/>
      <c r="O24" s="76"/>
      <c r="P24" s="76"/>
      <c r="Q24" s="76"/>
      <c r="R24" s="76"/>
      <c r="S24" s="76"/>
      <c r="T24" s="76"/>
      <c r="U24" s="76" t="n">
        <f aca="false">IFERROR(SUM(M24:T24),"")</f>
        <v>0</v>
      </c>
      <c r="V24" s="76"/>
      <c r="W24" s="76"/>
      <c r="X24" s="76"/>
      <c r="Y24" s="78" t="str">
        <f aca="false">IFERROR(IF(OR(W24="",X24="",W24=0),"",(X24-W24)/W24),"")</f>
        <v/>
      </c>
      <c r="Z24" s="76" t="str">
        <f aca="false">IF(C24="","",IFERROR(INDEX('8. Activity Tracker'!L:L,MATCH(C24,'8. Activity Tracker'!D:D,0)),"n/a"))</f>
        <v/>
      </c>
      <c r="AA24" s="76" t="str">
        <f aca="false">IFERROR(IF(OR(U24="",ISTEXT(Z24)),"",U24-Z24),"")</f>
        <v/>
      </c>
      <c r="AB24" s="78" t="str">
        <f aca="false">IFERROR(IF(OR(U24="",ISTEXT(Z24),Z24=0),"",U24/Z24),"")</f>
        <v/>
      </c>
      <c r="AC24" s="17" t="str">
        <f aca="false">IF(C24="","",IFERROR(INDEX('8. Activity Tracker'!J:J,MATCH(C24,'8. Activity Tracker'!D:D,0)),"n/a"))</f>
        <v/>
      </c>
      <c r="AD24" s="76" t="str">
        <f aca="false">IFERROR(IF(F24="","","Q"&amp;(ROUNDUP((DATEDIF(DATE(2026,6,1),F24,"m")+1)/3,0))),"")</f>
        <v/>
      </c>
      <c r="AE24" s="76" t="str">
        <f aca="false">IFERROR(IF(F24="","",TEXT(F24,"mmm-yy")),"")</f>
        <v/>
      </c>
      <c r="AF24" s="17"/>
    </row>
    <row r="25" customFormat="false" ht="24" hidden="false" customHeight="true" outlineLevel="0" collapsed="false">
      <c r="B25" s="22" t="n">
        <v>19</v>
      </c>
      <c r="C25" s="22"/>
      <c r="D25" s="16"/>
      <c r="E25" s="16"/>
      <c r="F25" s="75"/>
      <c r="G25" s="75"/>
      <c r="H25" s="22" t="str">
        <f aca="false">IFERROR(IF(AND(F25&lt;&gt;"",G25&lt;&gt;""),NETWORKDAYS.INTL(F25,G25,7),""),"")</f>
        <v/>
      </c>
      <c r="I25" s="16"/>
      <c r="J25" s="16"/>
      <c r="K25" s="16"/>
      <c r="L25" s="16"/>
      <c r="M25" s="49"/>
      <c r="N25" s="49"/>
      <c r="O25" s="49"/>
      <c r="P25" s="49"/>
      <c r="Q25" s="49"/>
      <c r="R25" s="49"/>
      <c r="S25" s="49"/>
      <c r="T25" s="49"/>
      <c r="U25" s="22" t="n">
        <f aca="false">IFERROR(SUM(M25:T25),"")</f>
        <v>0</v>
      </c>
      <c r="V25" s="49"/>
      <c r="W25" s="49"/>
      <c r="X25" s="49"/>
      <c r="Y25" s="68" t="str">
        <f aca="false">IFERROR(IF(OR(W25="",X25="",W25=0),"",(X25-W25)/W25),"")</f>
        <v/>
      </c>
      <c r="Z25" s="22" t="str">
        <f aca="false">IF(C25="","",IFERROR(INDEX('8. Activity Tracker'!L:L,MATCH(C25,'8. Activity Tracker'!D:D,0)),"n/a"))</f>
        <v/>
      </c>
      <c r="AA25" s="22" t="str">
        <f aca="false">IFERROR(IF(OR(U25="",ISTEXT(Z25)),"",U25-Z25),"")</f>
        <v/>
      </c>
      <c r="AB25" s="68" t="str">
        <f aca="false">IFERROR(IF(OR(U25="",ISTEXT(Z25),Z25=0),"",U25/Z25),"")</f>
        <v/>
      </c>
      <c r="AC25" s="16" t="str">
        <f aca="false">IF(C25="","",IFERROR(INDEX('8. Activity Tracker'!J:J,MATCH(C25,'8. Activity Tracker'!D:D,0)),"n/a"))</f>
        <v/>
      </c>
      <c r="AD25" s="22" t="str">
        <f aca="false">IFERROR(IF(F25="","","Q"&amp;(ROUNDUP((DATEDIF(DATE(2026,6,1),F25,"m")+1)/3,0))),"")</f>
        <v/>
      </c>
      <c r="AE25" s="22" t="str">
        <f aca="false">IFERROR(IF(F25="","",TEXT(F25,"mmm-yy")),"")</f>
        <v/>
      </c>
      <c r="AF25" s="16"/>
    </row>
    <row r="26" customFormat="false" ht="24" hidden="false" customHeight="true" outlineLevel="0" collapsed="false">
      <c r="B26" s="76" t="n">
        <v>20</v>
      </c>
      <c r="C26" s="76"/>
      <c r="D26" s="17"/>
      <c r="E26" s="17"/>
      <c r="F26" s="77"/>
      <c r="G26" s="77"/>
      <c r="H26" s="76" t="str">
        <f aca="false">IFERROR(IF(AND(F26&lt;&gt;"",G26&lt;&gt;""),NETWORKDAYS.INTL(F26,G26,7),""),"")</f>
        <v/>
      </c>
      <c r="I26" s="17"/>
      <c r="J26" s="17"/>
      <c r="K26" s="17"/>
      <c r="L26" s="17"/>
      <c r="M26" s="76"/>
      <c r="N26" s="76"/>
      <c r="O26" s="76"/>
      <c r="P26" s="76"/>
      <c r="Q26" s="76"/>
      <c r="R26" s="76"/>
      <c r="S26" s="76"/>
      <c r="T26" s="76"/>
      <c r="U26" s="76" t="n">
        <f aca="false">IFERROR(SUM(M26:T26),"")</f>
        <v>0</v>
      </c>
      <c r="V26" s="76"/>
      <c r="W26" s="76"/>
      <c r="X26" s="76"/>
      <c r="Y26" s="78" t="str">
        <f aca="false">IFERROR(IF(OR(W26="",X26="",W26=0),"",(X26-W26)/W26),"")</f>
        <v/>
      </c>
      <c r="Z26" s="76" t="str">
        <f aca="false">IF(C26="","",IFERROR(INDEX('8. Activity Tracker'!L:L,MATCH(C26,'8. Activity Tracker'!D:D,0)),"n/a"))</f>
        <v/>
      </c>
      <c r="AA26" s="76" t="str">
        <f aca="false">IFERROR(IF(OR(U26="",ISTEXT(Z26)),"",U26-Z26),"")</f>
        <v/>
      </c>
      <c r="AB26" s="78" t="str">
        <f aca="false">IFERROR(IF(OR(U26="",ISTEXT(Z26),Z26=0),"",U26/Z26),"")</f>
        <v/>
      </c>
      <c r="AC26" s="17" t="str">
        <f aca="false">IF(C26="","",IFERROR(INDEX('8. Activity Tracker'!J:J,MATCH(C26,'8. Activity Tracker'!D:D,0)),"n/a"))</f>
        <v/>
      </c>
      <c r="AD26" s="76" t="str">
        <f aca="false">IFERROR(IF(F26="","","Q"&amp;(ROUNDUP((DATEDIF(DATE(2026,6,1),F26,"m")+1)/3,0))),"")</f>
        <v/>
      </c>
      <c r="AE26" s="76" t="str">
        <f aca="false">IFERROR(IF(F26="","",TEXT(F26,"mmm-yy")),"")</f>
        <v/>
      </c>
      <c r="AF26" s="17"/>
    </row>
    <row r="27" customFormat="false" ht="24" hidden="false" customHeight="true" outlineLevel="0" collapsed="false">
      <c r="B27" s="22" t="n">
        <v>21</v>
      </c>
      <c r="C27" s="22"/>
      <c r="D27" s="16"/>
      <c r="E27" s="16"/>
      <c r="F27" s="75"/>
      <c r="G27" s="75"/>
      <c r="H27" s="22" t="str">
        <f aca="false">IFERROR(IF(AND(F27&lt;&gt;"",G27&lt;&gt;""),NETWORKDAYS.INTL(F27,G27,7),""),"")</f>
        <v/>
      </c>
      <c r="I27" s="16"/>
      <c r="J27" s="16"/>
      <c r="K27" s="16"/>
      <c r="L27" s="16"/>
      <c r="M27" s="49"/>
      <c r="N27" s="49"/>
      <c r="O27" s="49"/>
      <c r="P27" s="49"/>
      <c r="Q27" s="49"/>
      <c r="R27" s="49"/>
      <c r="S27" s="49"/>
      <c r="T27" s="49"/>
      <c r="U27" s="22" t="n">
        <f aca="false">IFERROR(SUM(M27:T27),"")</f>
        <v>0</v>
      </c>
      <c r="V27" s="49"/>
      <c r="W27" s="49"/>
      <c r="X27" s="49"/>
      <c r="Y27" s="68" t="str">
        <f aca="false">IFERROR(IF(OR(W27="",X27="",W27=0),"",(X27-W27)/W27),"")</f>
        <v/>
      </c>
      <c r="Z27" s="22" t="str">
        <f aca="false">IF(C27="","",IFERROR(INDEX('8. Activity Tracker'!L:L,MATCH(C27,'8. Activity Tracker'!D:D,0)),"n/a"))</f>
        <v/>
      </c>
      <c r="AA27" s="22" t="str">
        <f aca="false">IFERROR(IF(OR(U27="",ISTEXT(Z27)),"",U27-Z27),"")</f>
        <v/>
      </c>
      <c r="AB27" s="68" t="str">
        <f aca="false">IFERROR(IF(OR(U27="",ISTEXT(Z27),Z27=0),"",U27/Z27),"")</f>
        <v/>
      </c>
      <c r="AC27" s="16" t="str">
        <f aca="false">IF(C27="","",IFERROR(INDEX('8. Activity Tracker'!J:J,MATCH(C27,'8. Activity Tracker'!D:D,0)),"n/a"))</f>
        <v/>
      </c>
      <c r="AD27" s="22" t="str">
        <f aca="false">IFERROR(IF(F27="","","Q"&amp;(ROUNDUP((DATEDIF(DATE(2026,6,1),F27,"m")+1)/3,0))),"")</f>
        <v/>
      </c>
      <c r="AE27" s="22" t="str">
        <f aca="false">IFERROR(IF(F27="","",TEXT(F27,"mmm-yy")),"")</f>
        <v/>
      </c>
      <c r="AF27" s="16"/>
    </row>
    <row r="28" customFormat="false" ht="24" hidden="false" customHeight="true" outlineLevel="0" collapsed="false">
      <c r="B28" s="76" t="n">
        <v>22</v>
      </c>
      <c r="C28" s="76"/>
      <c r="D28" s="17"/>
      <c r="E28" s="17"/>
      <c r="F28" s="77"/>
      <c r="G28" s="77"/>
      <c r="H28" s="76" t="str">
        <f aca="false">IFERROR(IF(AND(F28&lt;&gt;"",G28&lt;&gt;""),NETWORKDAYS.INTL(F28,G28,7),""),"")</f>
        <v/>
      </c>
      <c r="I28" s="17"/>
      <c r="J28" s="17"/>
      <c r="K28" s="17"/>
      <c r="L28" s="17"/>
      <c r="M28" s="76"/>
      <c r="N28" s="76"/>
      <c r="O28" s="76"/>
      <c r="P28" s="76"/>
      <c r="Q28" s="76"/>
      <c r="R28" s="76"/>
      <c r="S28" s="76"/>
      <c r="T28" s="76"/>
      <c r="U28" s="76" t="n">
        <f aca="false">IFERROR(SUM(M28:T28),"")</f>
        <v>0</v>
      </c>
      <c r="V28" s="76"/>
      <c r="W28" s="76"/>
      <c r="X28" s="76"/>
      <c r="Y28" s="78" t="str">
        <f aca="false">IFERROR(IF(OR(W28="",X28="",W28=0),"",(X28-W28)/W28),"")</f>
        <v/>
      </c>
      <c r="Z28" s="76" t="str">
        <f aca="false">IF(C28="","",IFERROR(INDEX('8. Activity Tracker'!L:L,MATCH(C28,'8. Activity Tracker'!D:D,0)),"n/a"))</f>
        <v/>
      </c>
      <c r="AA28" s="76" t="str">
        <f aca="false">IFERROR(IF(OR(U28="",ISTEXT(Z28)),"",U28-Z28),"")</f>
        <v/>
      </c>
      <c r="AB28" s="78" t="str">
        <f aca="false">IFERROR(IF(OR(U28="",ISTEXT(Z28),Z28=0),"",U28/Z28),"")</f>
        <v/>
      </c>
      <c r="AC28" s="17" t="str">
        <f aca="false">IF(C28="","",IFERROR(INDEX('8. Activity Tracker'!J:J,MATCH(C28,'8. Activity Tracker'!D:D,0)),"n/a"))</f>
        <v/>
      </c>
      <c r="AD28" s="76" t="str">
        <f aca="false">IFERROR(IF(F28="","","Q"&amp;(ROUNDUP((DATEDIF(DATE(2026,6,1),F28,"m")+1)/3,0))),"")</f>
        <v/>
      </c>
      <c r="AE28" s="76" t="str">
        <f aca="false">IFERROR(IF(F28="","",TEXT(F28,"mmm-yy")),"")</f>
        <v/>
      </c>
      <c r="AF28" s="17"/>
    </row>
    <row r="29" customFormat="false" ht="24" hidden="false" customHeight="true" outlineLevel="0" collapsed="false">
      <c r="B29" s="22" t="n">
        <v>23</v>
      </c>
      <c r="C29" s="22"/>
      <c r="D29" s="16"/>
      <c r="E29" s="16"/>
      <c r="F29" s="75"/>
      <c r="G29" s="75"/>
      <c r="H29" s="22" t="str">
        <f aca="false">IFERROR(IF(AND(F29&lt;&gt;"",G29&lt;&gt;""),NETWORKDAYS.INTL(F29,G29,7),""),"")</f>
        <v/>
      </c>
      <c r="I29" s="16"/>
      <c r="J29" s="16"/>
      <c r="K29" s="16"/>
      <c r="L29" s="16"/>
      <c r="M29" s="49"/>
      <c r="N29" s="49"/>
      <c r="O29" s="49"/>
      <c r="P29" s="49"/>
      <c r="Q29" s="49"/>
      <c r="R29" s="49"/>
      <c r="S29" s="49"/>
      <c r="T29" s="49"/>
      <c r="U29" s="22" t="n">
        <f aca="false">IFERROR(SUM(M29:T29),"")</f>
        <v>0</v>
      </c>
      <c r="V29" s="49"/>
      <c r="W29" s="49"/>
      <c r="X29" s="49"/>
      <c r="Y29" s="68" t="str">
        <f aca="false">IFERROR(IF(OR(W29="",X29="",W29=0),"",(X29-W29)/W29),"")</f>
        <v/>
      </c>
      <c r="Z29" s="22" t="str">
        <f aca="false">IF(C29="","",IFERROR(INDEX('8. Activity Tracker'!L:L,MATCH(C29,'8. Activity Tracker'!D:D,0)),"n/a"))</f>
        <v/>
      </c>
      <c r="AA29" s="22" t="str">
        <f aca="false">IFERROR(IF(OR(U29="",ISTEXT(Z29)),"",U29-Z29),"")</f>
        <v/>
      </c>
      <c r="AB29" s="68" t="str">
        <f aca="false">IFERROR(IF(OR(U29="",ISTEXT(Z29),Z29=0),"",U29/Z29),"")</f>
        <v/>
      </c>
      <c r="AC29" s="16" t="str">
        <f aca="false">IF(C29="","",IFERROR(INDEX('8. Activity Tracker'!J:J,MATCH(C29,'8. Activity Tracker'!D:D,0)),"n/a"))</f>
        <v/>
      </c>
      <c r="AD29" s="22" t="str">
        <f aca="false">IFERROR(IF(F29="","","Q"&amp;(ROUNDUP((DATEDIF(DATE(2026,6,1),F29,"m")+1)/3,0))),"")</f>
        <v/>
      </c>
      <c r="AE29" s="22" t="str">
        <f aca="false">IFERROR(IF(F29="","",TEXT(F29,"mmm-yy")),"")</f>
        <v/>
      </c>
      <c r="AF29" s="16"/>
    </row>
    <row r="30" customFormat="false" ht="24" hidden="false" customHeight="true" outlineLevel="0" collapsed="false">
      <c r="B30" s="76" t="n">
        <v>24</v>
      </c>
      <c r="C30" s="76"/>
      <c r="D30" s="17"/>
      <c r="E30" s="17"/>
      <c r="F30" s="77"/>
      <c r="G30" s="77"/>
      <c r="H30" s="76" t="str">
        <f aca="false">IFERROR(IF(AND(F30&lt;&gt;"",G30&lt;&gt;""),NETWORKDAYS.INTL(F30,G30,7),""),"")</f>
        <v/>
      </c>
      <c r="I30" s="17"/>
      <c r="J30" s="17"/>
      <c r="K30" s="17"/>
      <c r="L30" s="17"/>
      <c r="M30" s="76"/>
      <c r="N30" s="76"/>
      <c r="O30" s="76"/>
      <c r="P30" s="76"/>
      <c r="Q30" s="76"/>
      <c r="R30" s="76"/>
      <c r="S30" s="76"/>
      <c r="T30" s="76"/>
      <c r="U30" s="76" t="n">
        <f aca="false">IFERROR(SUM(M30:T30),"")</f>
        <v>0</v>
      </c>
      <c r="V30" s="76"/>
      <c r="W30" s="76"/>
      <c r="X30" s="76"/>
      <c r="Y30" s="78" t="str">
        <f aca="false">IFERROR(IF(OR(W30="",X30="",W30=0),"",(X30-W30)/W30),"")</f>
        <v/>
      </c>
      <c r="Z30" s="76" t="str">
        <f aca="false">IF(C30="","",IFERROR(INDEX('8. Activity Tracker'!L:L,MATCH(C30,'8. Activity Tracker'!D:D,0)),"n/a"))</f>
        <v/>
      </c>
      <c r="AA30" s="76" t="str">
        <f aca="false">IFERROR(IF(OR(U30="",ISTEXT(Z30)),"",U30-Z30),"")</f>
        <v/>
      </c>
      <c r="AB30" s="78" t="str">
        <f aca="false">IFERROR(IF(OR(U30="",ISTEXT(Z30),Z30=0),"",U30/Z30),"")</f>
        <v/>
      </c>
      <c r="AC30" s="17" t="str">
        <f aca="false">IF(C30="","",IFERROR(INDEX('8. Activity Tracker'!J:J,MATCH(C30,'8. Activity Tracker'!D:D,0)),"n/a"))</f>
        <v/>
      </c>
      <c r="AD30" s="76" t="str">
        <f aca="false">IFERROR(IF(F30="","","Q"&amp;(ROUNDUP((DATEDIF(DATE(2026,6,1),F30,"m")+1)/3,0))),"")</f>
        <v/>
      </c>
      <c r="AE30" s="76" t="str">
        <f aca="false">IFERROR(IF(F30="","",TEXT(F30,"mmm-yy")),"")</f>
        <v/>
      </c>
      <c r="AF30" s="17"/>
    </row>
    <row r="31" customFormat="false" ht="24" hidden="false" customHeight="true" outlineLevel="0" collapsed="false">
      <c r="B31" s="22" t="n">
        <v>25</v>
      </c>
      <c r="C31" s="22"/>
      <c r="D31" s="16"/>
      <c r="E31" s="16"/>
      <c r="F31" s="75"/>
      <c r="G31" s="75"/>
      <c r="H31" s="22" t="str">
        <f aca="false">IFERROR(IF(AND(F31&lt;&gt;"",G31&lt;&gt;""),NETWORKDAYS.INTL(F31,G31,7),""),"")</f>
        <v/>
      </c>
      <c r="I31" s="16"/>
      <c r="J31" s="16"/>
      <c r="K31" s="16"/>
      <c r="L31" s="16"/>
      <c r="M31" s="49"/>
      <c r="N31" s="49"/>
      <c r="O31" s="49"/>
      <c r="P31" s="49"/>
      <c r="Q31" s="49"/>
      <c r="R31" s="49"/>
      <c r="S31" s="49"/>
      <c r="T31" s="49"/>
      <c r="U31" s="22" t="n">
        <f aca="false">IFERROR(SUM(M31:T31),"")</f>
        <v>0</v>
      </c>
      <c r="V31" s="49"/>
      <c r="W31" s="49"/>
      <c r="X31" s="49"/>
      <c r="Y31" s="68" t="str">
        <f aca="false">IFERROR(IF(OR(W31="",X31="",W31=0),"",(X31-W31)/W31),"")</f>
        <v/>
      </c>
      <c r="Z31" s="22" t="str">
        <f aca="false">IF(C31="","",IFERROR(INDEX('8. Activity Tracker'!L:L,MATCH(C31,'8. Activity Tracker'!D:D,0)),"n/a"))</f>
        <v/>
      </c>
      <c r="AA31" s="22" t="str">
        <f aca="false">IFERROR(IF(OR(U31="",ISTEXT(Z31)),"",U31-Z31),"")</f>
        <v/>
      </c>
      <c r="AB31" s="68" t="str">
        <f aca="false">IFERROR(IF(OR(U31="",ISTEXT(Z31),Z31=0),"",U31/Z31),"")</f>
        <v/>
      </c>
      <c r="AC31" s="16" t="str">
        <f aca="false">IF(C31="","",IFERROR(INDEX('8. Activity Tracker'!J:J,MATCH(C31,'8. Activity Tracker'!D:D,0)),"n/a"))</f>
        <v/>
      </c>
      <c r="AD31" s="22" t="str">
        <f aca="false">IFERROR(IF(F31="","","Q"&amp;(ROUNDUP((DATEDIF(DATE(2026,6,1),F31,"m")+1)/3,0))),"")</f>
        <v/>
      </c>
      <c r="AE31" s="22" t="str">
        <f aca="false">IFERROR(IF(F31="","",TEXT(F31,"mmm-yy")),"")</f>
        <v/>
      </c>
      <c r="AF31" s="16"/>
    </row>
    <row r="32" customFormat="false" ht="24" hidden="false" customHeight="true" outlineLevel="0" collapsed="false">
      <c r="B32" s="76" t="n">
        <v>26</v>
      </c>
      <c r="C32" s="76"/>
      <c r="D32" s="17"/>
      <c r="E32" s="17"/>
      <c r="F32" s="77"/>
      <c r="G32" s="77"/>
      <c r="H32" s="76" t="str">
        <f aca="false">IFERROR(IF(AND(F32&lt;&gt;"",G32&lt;&gt;""),NETWORKDAYS.INTL(F32,G32,7),""),"")</f>
        <v/>
      </c>
      <c r="I32" s="17"/>
      <c r="J32" s="17"/>
      <c r="K32" s="17"/>
      <c r="L32" s="17"/>
      <c r="M32" s="76"/>
      <c r="N32" s="76"/>
      <c r="O32" s="76"/>
      <c r="P32" s="76"/>
      <c r="Q32" s="76"/>
      <c r="R32" s="76"/>
      <c r="S32" s="76"/>
      <c r="T32" s="76"/>
      <c r="U32" s="76" t="n">
        <f aca="false">IFERROR(SUM(M32:T32),"")</f>
        <v>0</v>
      </c>
      <c r="V32" s="76"/>
      <c r="W32" s="76"/>
      <c r="X32" s="76"/>
      <c r="Y32" s="78" t="str">
        <f aca="false">IFERROR(IF(OR(W32="",X32="",W32=0),"",(X32-W32)/W32),"")</f>
        <v/>
      </c>
      <c r="Z32" s="76" t="str">
        <f aca="false">IF(C32="","",IFERROR(INDEX('8. Activity Tracker'!L:L,MATCH(C32,'8. Activity Tracker'!D:D,0)),"n/a"))</f>
        <v/>
      </c>
      <c r="AA32" s="76" t="str">
        <f aca="false">IFERROR(IF(OR(U32="",ISTEXT(Z32)),"",U32-Z32),"")</f>
        <v/>
      </c>
      <c r="AB32" s="78" t="str">
        <f aca="false">IFERROR(IF(OR(U32="",ISTEXT(Z32),Z32=0),"",U32/Z32),"")</f>
        <v/>
      </c>
      <c r="AC32" s="17" t="str">
        <f aca="false">IF(C32="","",IFERROR(INDEX('8. Activity Tracker'!J:J,MATCH(C32,'8. Activity Tracker'!D:D,0)),"n/a"))</f>
        <v/>
      </c>
      <c r="AD32" s="76" t="str">
        <f aca="false">IFERROR(IF(F32="","","Q"&amp;(ROUNDUP((DATEDIF(DATE(2026,6,1),F32,"m")+1)/3,0))),"")</f>
        <v/>
      </c>
      <c r="AE32" s="76" t="str">
        <f aca="false">IFERROR(IF(F32="","",TEXT(F32,"mmm-yy")),"")</f>
        <v/>
      </c>
      <c r="AF32" s="17"/>
    </row>
    <row r="33" customFormat="false" ht="24" hidden="false" customHeight="true" outlineLevel="0" collapsed="false">
      <c r="B33" s="22" t="n">
        <v>27</v>
      </c>
      <c r="C33" s="22"/>
      <c r="D33" s="16"/>
      <c r="E33" s="16"/>
      <c r="F33" s="75"/>
      <c r="G33" s="75"/>
      <c r="H33" s="22" t="str">
        <f aca="false">IFERROR(IF(AND(F33&lt;&gt;"",G33&lt;&gt;""),NETWORKDAYS.INTL(F33,G33,7),""),"")</f>
        <v/>
      </c>
      <c r="I33" s="16"/>
      <c r="J33" s="16"/>
      <c r="K33" s="16"/>
      <c r="L33" s="16"/>
      <c r="M33" s="49"/>
      <c r="N33" s="49"/>
      <c r="O33" s="49"/>
      <c r="P33" s="49"/>
      <c r="Q33" s="49"/>
      <c r="R33" s="49"/>
      <c r="S33" s="49"/>
      <c r="T33" s="49"/>
      <c r="U33" s="22" t="n">
        <f aca="false">IFERROR(SUM(M33:T33),"")</f>
        <v>0</v>
      </c>
      <c r="V33" s="49"/>
      <c r="W33" s="49"/>
      <c r="X33" s="49"/>
      <c r="Y33" s="68" t="str">
        <f aca="false">IFERROR(IF(OR(W33="",X33="",W33=0),"",(X33-W33)/W33),"")</f>
        <v/>
      </c>
      <c r="Z33" s="22" t="str">
        <f aca="false">IF(C33="","",IFERROR(INDEX('8. Activity Tracker'!L:L,MATCH(C33,'8. Activity Tracker'!D:D,0)),"n/a"))</f>
        <v/>
      </c>
      <c r="AA33" s="22" t="str">
        <f aca="false">IFERROR(IF(OR(U33="",ISTEXT(Z33)),"",U33-Z33),"")</f>
        <v/>
      </c>
      <c r="AB33" s="68" t="str">
        <f aca="false">IFERROR(IF(OR(U33="",ISTEXT(Z33),Z33=0),"",U33/Z33),"")</f>
        <v/>
      </c>
      <c r="AC33" s="16" t="str">
        <f aca="false">IF(C33="","",IFERROR(INDEX('8. Activity Tracker'!J:J,MATCH(C33,'8. Activity Tracker'!D:D,0)),"n/a"))</f>
        <v/>
      </c>
      <c r="AD33" s="22" t="str">
        <f aca="false">IFERROR(IF(F33="","","Q"&amp;(ROUNDUP((DATEDIF(DATE(2026,6,1),F33,"m")+1)/3,0))),"")</f>
        <v/>
      </c>
      <c r="AE33" s="22" t="str">
        <f aca="false">IFERROR(IF(F33="","",TEXT(F33,"mmm-yy")),"")</f>
        <v/>
      </c>
      <c r="AF33" s="16"/>
    </row>
    <row r="34" customFormat="false" ht="24" hidden="false" customHeight="true" outlineLevel="0" collapsed="false">
      <c r="B34" s="76" t="n">
        <v>28</v>
      </c>
      <c r="C34" s="76"/>
      <c r="D34" s="17"/>
      <c r="E34" s="17"/>
      <c r="F34" s="77"/>
      <c r="G34" s="77"/>
      <c r="H34" s="76" t="str">
        <f aca="false">IFERROR(IF(AND(F34&lt;&gt;"",G34&lt;&gt;""),NETWORKDAYS.INTL(F34,G34,7),""),"")</f>
        <v/>
      </c>
      <c r="I34" s="17"/>
      <c r="J34" s="17"/>
      <c r="K34" s="17"/>
      <c r="L34" s="17"/>
      <c r="M34" s="76"/>
      <c r="N34" s="76"/>
      <c r="O34" s="76"/>
      <c r="P34" s="76"/>
      <c r="Q34" s="76"/>
      <c r="R34" s="76"/>
      <c r="S34" s="76"/>
      <c r="T34" s="76"/>
      <c r="U34" s="76" t="n">
        <f aca="false">IFERROR(SUM(M34:T34),"")</f>
        <v>0</v>
      </c>
      <c r="V34" s="76"/>
      <c r="W34" s="76"/>
      <c r="X34" s="76"/>
      <c r="Y34" s="78" t="str">
        <f aca="false">IFERROR(IF(OR(W34="",X34="",W34=0),"",(X34-W34)/W34),"")</f>
        <v/>
      </c>
      <c r="Z34" s="76" t="str">
        <f aca="false">IF(C34="","",IFERROR(INDEX('8. Activity Tracker'!L:L,MATCH(C34,'8. Activity Tracker'!D:D,0)),"n/a"))</f>
        <v/>
      </c>
      <c r="AA34" s="76" t="str">
        <f aca="false">IFERROR(IF(OR(U34="",ISTEXT(Z34)),"",U34-Z34),"")</f>
        <v/>
      </c>
      <c r="AB34" s="78" t="str">
        <f aca="false">IFERROR(IF(OR(U34="",ISTEXT(Z34),Z34=0),"",U34/Z34),"")</f>
        <v/>
      </c>
      <c r="AC34" s="17" t="str">
        <f aca="false">IF(C34="","",IFERROR(INDEX('8. Activity Tracker'!J:J,MATCH(C34,'8. Activity Tracker'!D:D,0)),"n/a"))</f>
        <v/>
      </c>
      <c r="AD34" s="76" t="str">
        <f aca="false">IFERROR(IF(F34="","","Q"&amp;(ROUNDUP((DATEDIF(DATE(2026,6,1),F34,"m")+1)/3,0))),"")</f>
        <v/>
      </c>
      <c r="AE34" s="76" t="str">
        <f aca="false">IFERROR(IF(F34="","",TEXT(F34,"mmm-yy")),"")</f>
        <v/>
      </c>
      <c r="AF34" s="17"/>
    </row>
    <row r="35" customFormat="false" ht="24" hidden="false" customHeight="true" outlineLevel="0" collapsed="false">
      <c r="B35" s="22" t="n">
        <v>29</v>
      </c>
      <c r="C35" s="22"/>
      <c r="D35" s="16"/>
      <c r="E35" s="16"/>
      <c r="F35" s="75"/>
      <c r="G35" s="75"/>
      <c r="H35" s="22" t="str">
        <f aca="false">IFERROR(IF(AND(F35&lt;&gt;"",G35&lt;&gt;""),NETWORKDAYS.INTL(F35,G35,7),""),"")</f>
        <v/>
      </c>
      <c r="I35" s="16"/>
      <c r="J35" s="16"/>
      <c r="K35" s="16"/>
      <c r="L35" s="16"/>
      <c r="M35" s="49"/>
      <c r="N35" s="49"/>
      <c r="O35" s="49"/>
      <c r="P35" s="49"/>
      <c r="Q35" s="49"/>
      <c r="R35" s="49"/>
      <c r="S35" s="49"/>
      <c r="T35" s="49"/>
      <c r="U35" s="22" t="n">
        <f aca="false">IFERROR(SUM(M35:T35),"")</f>
        <v>0</v>
      </c>
      <c r="V35" s="49"/>
      <c r="W35" s="49"/>
      <c r="X35" s="49"/>
      <c r="Y35" s="68" t="str">
        <f aca="false">IFERROR(IF(OR(W35="",X35="",W35=0),"",(X35-W35)/W35),"")</f>
        <v/>
      </c>
      <c r="Z35" s="22" t="str">
        <f aca="false">IF(C35="","",IFERROR(INDEX('8. Activity Tracker'!L:L,MATCH(C35,'8. Activity Tracker'!D:D,0)),"n/a"))</f>
        <v/>
      </c>
      <c r="AA35" s="22" t="str">
        <f aca="false">IFERROR(IF(OR(U35="",ISTEXT(Z35)),"",U35-Z35),"")</f>
        <v/>
      </c>
      <c r="AB35" s="68" t="str">
        <f aca="false">IFERROR(IF(OR(U35="",ISTEXT(Z35),Z35=0),"",U35/Z35),"")</f>
        <v/>
      </c>
      <c r="AC35" s="16" t="str">
        <f aca="false">IF(C35="","",IFERROR(INDEX('8. Activity Tracker'!J:J,MATCH(C35,'8. Activity Tracker'!D:D,0)),"n/a"))</f>
        <v/>
      </c>
      <c r="AD35" s="22" t="str">
        <f aca="false">IFERROR(IF(F35="","","Q"&amp;(ROUNDUP((DATEDIF(DATE(2026,6,1),F35,"m")+1)/3,0))),"")</f>
        <v/>
      </c>
      <c r="AE35" s="22" t="str">
        <f aca="false">IFERROR(IF(F35="","",TEXT(F35,"mmm-yy")),"")</f>
        <v/>
      </c>
      <c r="AF35" s="16"/>
    </row>
    <row r="36" customFormat="false" ht="24" hidden="false" customHeight="true" outlineLevel="0" collapsed="false">
      <c r="B36" s="76" t="n">
        <v>30</v>
      </c>
      <c r="C36" s="76"/>
      <c r="D36" s="17"/>
      <c r="E36" s="17"/>
      <c r="F36" s="77"/>
      <c r="G36" s="77"/>
      <c r="H36" s="76" t="str">
        <f aca="false">IFERROR(IF(AND(F36&lt;&gt;"",G36&lt;&gt;""),NETWORKDAYS.INTL(F36,G36,7),""),"")</f>
        <v/>
      </c>
      <c r="I36" s="17"/>
      <c r="J36" s="17"/>
      <c r="K36" s="17"/>
      <c r="L36" s="17"/>
      <c r="M36" s="76"/>
      <c r="N36" s="76"/>
      <c r="O36" s="76"/>
      <c r="P36" s="76"/>
      <c r="Q36" s="76"/>
      <c r="R36" s="76"/>
      <c r="S36" s="76"/>
      <c r="T36" s="76"/>
      <c r="U36" s="76" t="n">
        <f aca="false">IFERROR(SUM(M36:T36),"")</f>
        <v>0</v>
      </c>
      <c r="V36" s="76"/>
      <c r="W36" s="76"/>
      <c r="X36" s="76"/>
      <c r="Y36" s="78" t="str">
        <f aca="false">IFERROR(IF(OR(W36="",X36="",W36=0),"",(X36-W36)/W36),"")</f>
        <v/>
      </c>
      <c r="Z36" s="76" t="str">
        <f aca="false">IF(C36="","",IFERROR(INDEX('8. Activity Tracker'!L:L,MATCH(C36,'8. Activity Tracker'!D:D,0)),"n/a"))</f>
        <v/>
      </c>
      <c r="AA36" s="76" t="str">
        <f aca="false">IFERROR(IF(OR(U36="",ISTEXT(Z36)),"",U36-Z36),"")</f>
        <v/>
      </c>
      <c r="AB36" s="78" t="str">
        <f aca="false">IFERROR(IF(OR(U36="",ISTEXT(Z36),Z36=0),"",U36/Z36),"")</f>
        <v/>
      </c>
      <c r="AC36" s="17" t="str">
        <f aca="false">IF(C36="","",IFERROR(INDEX('8. Activity Tracker'!J:J,MATCH(C36,'8. Activity Tracker'!D:D,0)),"n/a"))</f>
        <v/>
      </c>
      <c r="AD36" s="76" t="str">
        <f aca="false">IFERROR(IF(F36="","","Q"&amp;(ROUNDUP((DATEDIF(DATE(2026,6,1),F36,"m")+1)/3,0))),"")</f>
        <v/>
      </c>
      <c r="AE36" s="76" t="str">
        <f aca="false">IFERROR(IF(F36="","",TEXT(F36,"mmm-yy")),"")</f>
        <v/>
      </c>
      <c r="AF36" s="17"/>
    </row>
    <row r="37" customFormat="false" ht="24" hidden="false" customHeight="true" outlineLevel="0" collapsed="false">
      <c r="B37" s="22" t="n">
        <v>31</v>
      </c>
      <c r="C37" s="22"/>
      <c r="D37" s="16"/>
      <c r="E37" s="16"/>
      <c r="F37" s="75"/>
      <c r="G37" s="75"/>
      <c r="H37" s="22" t="str">
        <f aca="false">IFERROR(IF(AND(F37&lt;&gt;"",G37&lt;&gt;""),NETWORKDAYS.INTL(F37,G37,7),""),"")</f>
        <v/>
      </c>
      <c r="I37" s="16"/>
      <c r="J37" s="16"/>
      <c r="K37" s="16"/>
      <c r="L37" s="16"/>
      <c r="M37" s="49"/>
      <c r="N37" s="49"/>
      <c r="O37" s="49"/>
      <c r="P37" s="49"/>
      <c r="Q37" s="49"/>
      <c r="R37" s="49"/>
      <c r="S37" s="49"/>
      <c r="T37" s="49"/>
      <c r="U37" s="22" t="n">
        <f aca="false">IFERROR(SUM(M37:T37),"")</f>
        <v>0</v>
      </c>
      <c r="V37" s="49"/>
      <c r="W37" s="49"/>
      <c r="X37" s="49"/>
      <c r="Y37" s="68" t="str">
        <f aca="false">IFERROR(IF(OR(W37="",X37="",W37=0),"",(X37-W37)/W37),"")</f>
        <v/>
      </c>
      <c r="Z37" s="22" t="str">
        <f aca="false">IF(C37="","",IFERROR(INDEX('8. Activity Tracker'!L:L,MATCH(C37,'8. Activity Tracker'!D:D,0)),"n/a"))</f>
        <v/>
      </c>
      <c r="AA37" s="22" t="str">
        <f aca="false">IFERROR(IF(OR(U37="",ISTEXT(Z37)),"",U37-Z37),"")</f>
        <v/>
      </c>
      <c r="AB37" s="68" t="str">
        <f aca="false">IFERROR(IF(OR(U37="",ISTEXT(Z37),Z37=0),"",U37/Z37),"")</f>
        <v/>
      </c>
      <c r="AC37" s="16" t="str">
        <f aca="false">IF(C37="","",IFERROR(INDEX('8. Activity Tracker'!J:J,MATCH(C37,'8. Activity Tracker'!D:D,0)),"n/a"))</f>
        <v/>
      </c>
      <c r="AD37" s="22" t="str">
        <f aca="false">IFERROR(IF(F37="","","Q"&amp;(ROUNDUP((DATEDIF(DATE(2026,6,1),F37,"m")+1)/3,0))),"")</f>
        <v/>
      </c>
      <c r="AE37" s="22" t="str">
        <f aca="false">IFERROR(IF(F37="","",TEXT(F37,"mmm-yy")),"")</f>
        <v/>
      </c>
      <c r="AF37" s="16"/>
    </row>
    <row r="38" customFormat="false" ht="24" hidden="false" customHeight="true" outlineLevel="0" collapsed="false">
      <c r="B38" s="76" t="n">
        <v>32</v>
      </c>
      <c r="C38" s="76"/>
      <c r="D38" s="17"/>
      <c r="E38" s="17"/>
      <c r="F38" s="77"/>
      <c r="G38" s="77"/>
      <c r="H38" s="76" t="str">
        <f aca="false">IFERROR(IF(AND(F38&lt;&gt;"",G38&lt;&gt;""),NETWORKDAYS.INTL(F38,G38,7),""),"")</f>
        <v/>
      </c>
      <c r="I38" s="17"/>
      <c r="J38" s="17"/>
      <c r="K38" s="17"/>
      <c r="L38" s="17"/>
      <c r="M38" s="76"/>
      <c r="N38" s="76"/>
      <c r="O38" s="76"/>
      <c r="P38" s="76"/>
      <c r="Q38" s="76"/>
      <c r="R38" s="76"/>
      <c r="S38" s="76"/>
      <c r="T38" s="76"/>
      <c r="U38" s="76" t="n">
        <f aca="false">IFERROR(SUM(M38:T38),"")</f>
        <v>0</v>
      </c>
      <c r="V38" s="76"/>
      <c r="W38" s="76"/>
      <c r="X38" s="76"/>
      <c r="Y38" s="78" t="str">
        <f aca="false">IFERROR(IF(OR(W38="",X38="",W38=0),"",(X38-W38)/W38),"")</f>
        <v/>
      </c>
      <c r="Z38" s="76" t="str">
        <f aca="false">IF(C38="","",IFERROR(INDEX('8. Activity Tracker'!L:L,MATCH(C38,'8. Activity Tracker'!D:D,0)),"n/a"))</f>
        <v/>
      </c>
      <c r="AA38" s="76" t="str">
        <f aca="false">IFERROR(IF(OR(U38="",ISTEXT(Z38)),"",U38-Z38),"")</f>
        <v/>
      </c>
      <c r="AB38" s="78" t="str">
        <f aca="false">IFERROR(IF(OR(U38="",ISTEXT(Z38),Z38=0),"",U38/Z38),"")</f>
        <v/>
      </c>
      <c r="AC38" s="17" t="str">
        <f aca="false">IF(C38="","",IFERROR(INDEX('8. Activity Tracker'!J:J,MATCH(C38,'8. Activity Tracker'!D:D,0)),"n/a"))</f>
        <v/>
      </c>
      <c r="AD38" s="76" t="str">
        <f aca="false">IFERROR(IF(F38="","","Q"&amp;(ROUNDUP((DATEDIF(DATE(2026,6,1),F38,"m")+1)/3,0))),"")</f>
        <v/>
      </c>
      <c r="AE38" s="76" t="str">
        <f aca="false">IFERROR(IF(F38="","",TEXT(F38,"mmm-yy")),"")</f>
        <v/>
      </c>
      <c r="AF38" s="17"/>
    </row>
    <row r="39" customFormat="false" ht="24" hidden="false" customHeight="true" outlineLevel="0" collapsed="false">
      <c r="B39" s="22" t="n">
        <v>33</v>
      </c>
      <c r="C39" s="22"/>
      <c r="D39" s="16"/>
      <c r="E39" s="16"/>
      <c r="F39" s="75"/>
      <c r="G39" s="75"/>
      <c r="H39" s="22" t="str">
        <f aca="false">IFERROR(IF(AND(F39&lt;&gt;"",G39&lt;&gt;""),NETWORKDAYS.INTL(F39,G39,7),""),"")</f>
        <v/>
      </c>
      <c r="I39" s="16"/>
      <c r="J39" s="16"/>
      <c r="K39" s="16"/>
      <c r="L39" s="16"/>
      <c r="M39" s="49"/>
      <c r="N39" s="49"/>
      <c r="O39" s="49"/>
      <c r="P39" s="49"/>
      <c r="Q39" s="49"/>
      <c r="R39" s="49"/>
      <c r="S39" s="49"/>
      <c r="T39" s="49"/>
      <c r="U39" s="22" t="n">
        <f aca="false">IFERROR(SUM(M39:T39),"")</f>
        <v>0</v>
      </c>
      <c r="V39" s="49"/>
      <c r="W39" s="49"/>
      <c r="X39" s="49"/>
      <c r="Y39" s="68" t="str">
        <f aca="false">IFERROR(IF(OR(W39="",X39="",W39=0),"",(X39-W39)/W39),"")</f>
        <v/>
      </c>
      <c r="Z39" s="22" t="str">
        <f aca="false">IF(C39="","",IFERROR(INDEX('8. Activity Tracker'!L:L,MATCH(C39,'8. Activity Tracker'!D:D,0)),"n/a"))</f>
        <v/>
      </c>
      <c r="AA39" s="22" t="str">
        <f aca="false">IFERROR(IF(OR(U39="",ISTEXT(Z39)),"",U39-Z39),"")</f>
        <v/>
      </c>
      <c r="AB39" s="68" t="str">
        <f aca="false">IFERROR(IF(OR(U39="",ISTEXT(Z39),Z39=0),"",U39/Z39),"")</f>
        <v/>
      </c>
      <c r="AC39" s="16" t="str">
        <f aca="false">IF(C39="","",IFERROR(INDEX('8. Activity Tracker'!J:J,MATCH(C39,'8. Activity Tracker'!D:D,0)),"n/a"))</f>
        <v/>
      </c>
      <c r="AD39" s="22" t="str">
        <f aca="false">IFERROR(IF(F39="","","Q"&amp;(ROUNDUP((DATEDIF(DATE(2026,6,1),F39,"m")+1)/3,0))),"")</f>
        <v/>
      </c>
      <c r="AE39" s="22" t="str">
        <f aca="false">IFERROR(IF(F39="","",TEXT(F39,"mmm-yy")),"")</f>
        <v/>
      </c>
      <c r="AF39" s="16"/>
    </row>
    <row r="40" customFormat="false" ht="24" hidden="false" customHeight="true" outlineLevel="0" collapsed="false">
      <c r="B40" s="76" t="n">
        <v>34</v>
      </c>
      <c r="C40" s="76"/>
      <c r="D40" s="17"/>
      <c r="E40" s="17"/>
      <c r="F40" s="77"/>
      <c r="G40" s="77"/>
      <c r="H40" s="76" t="str">
        <f aca="false">IFERROR(IF(AND(F40&lt;&gt;"",G40&lt;&gt;""),NETWORKDAYS.INTL(F40,G40,7),""),"")</f>
        <v/>
      </c>
      <c r="I40" s="17"/>
      <c r="J40" s="17"/>
      <c r="K40" s="17"/>
      <c r="L40" s="17"/>
      <c r="M40" s="76"/>
      <c r="N40" s="76"/>
      <c r="O40" s="76"/>
      <c r="P40" s="76"/>
      <c r="Q40" s="76"/>
      <c r="R40" s="76"/>
      <c r="S40" s="76"/>
      <c r="T40" s="76"/>
      <c r="U40" s="76" t="n">
        <f aca="false">IFERROR(SUM(M40:T40),"")</f>
        <v>0</v>
      </c>
      <c r="V40" s="76"/>
      <c r="W40" s="76"/>
      <c r="X40" s="76"/>
      <c r="Y40" s="78" t="str">
        <f aca="false">IFERROR(IF(OR(W40="",X40="",W40=0),"",(X40-W40)/W40),"")</f>
        <v/>
      </c>
      <c r="Z40" s="76" t="str">
        <f aca="false">IF(C40="","",IFERROR(INDEX('8. Activity Tracker'!L:L,MATCH(C40,'8. Activity Tracker'!D:D,0)),"n/a"))</f>
        <v/>
      </c>
      <c r="AA40" s="76" t="str">
        <f aca="false">IFERROR(IF(OR(U40="",ISTEXT(Z40)),"",U40-Z40),"")</f>
        <v/>
      </c>
      <c r="AB40" s="78" t="str">
        <f aca="false">IFERROR(IF(OR(U40="",ISTEXT(Z40),Z40=0),"",U40/Z40),"")</f>
        <v/>
      </c>
      <c r="AC40" s="17" t="str">
        <f aca="false">IF(C40="","",IFERROR(INDEX('8. Activity Tracker'!J:J,MATCH(C40,'8. Activity Tracker'!D:D,0)),"n/a"))</f>
        <v/>
      </c>
      <c r="AD40" s="76" t="str">
        <f aca="false">IFERROR(IF(F40="","","Q"&amp;(ROUNDUP((DATEDIF(DATE(2026,6,1),F40,"m")+1)/3,0))),"")</f>
        <v/>
      </c>
      <c r="AE40" s="76" t="str">
        <f aca="false">IFERROR(IF(F40="","",TEXT(F40,"mmm-yy")),"")</f>
        <v/>
      </c>
      <c r="AF40" s="17"/>
    </row>
    <row r="41" customFormat="false" ht="24" hidden="false" customHeight="true" outlineLevel="0" collapsed="false">
      <c r="B41" s="22" t="n">
        <v>35</v>
      </c>
      <c r="C41" s="22"/>
      <c r="D41" s="16"/>
      <c r="E41" s="16"/>
      <c r="F41" s="75"/>
      <c r="G41" s="75"/>
      <c r="H41" s="22" t="str">
        <f aca="false">IFERROR(IF(AND(F41&lt;&gt;"",G41&lt;&gt;""),NETWORKDAYS.INTL(F41,G41,7),""),"")</f>
        <v/>
      </c>
      <c r="I41" s="16"/>
      <c r="J41" s="16"/>
      <c r="K41" s="16"/>
      <c r="L41" s="16"/>
      <c r="M41" s="49"/>
      <c r="N41" s="49"/>
      <c r="O41" s="49"/>
      <c r="P41" s="49"/>
      <c r="Q41" s="49"/>
      <c r="R41" s="49"/>
      <c r="S41" s="49"/>
      <c r="T41" s="49"/>
      <c r="U41" s="22" t="n">
        <f aca="false">IFERROR(SUM(M41:T41),"")</f>
        <v>0</v>
      </c>
      <c r="V41" s="49"/>
      <c r="W41" s="49"/>
      <c r="X41" s="49"/>
      <c r="Y41" s="68" t="str">
        <f aca="false">IFERROR(IF(OR(W41="",X41="",W41=0),"",(X41-W41)/W41),"")</f>
        <v/>
      </c>
      <c r="Z41" s="22" t="str">
        <f aca="false">IF(C41="","",IFERROR(INDEX('8. Activity Tracker'!L:L,MATCH(C41,'8. Activity Tracker'!D:D,0)),"n/a"))</f>
        <v/>
      </c>
      <c r="AA41" s="22" t="str">
        <f aca="false">IFERROR(IF(OR(U41="",ISTEXT(Z41)),"",U41-Z41),"")</f>
        <v/>
      </c>
      <c r="AB41" s="68" t="str">
        <f aca="false">IFERROR(IF(OR(U41="",ISTEXT(Z41),Z41=0),"",U41/Z41),"")</f>
        <v/>
      </c>
      <c r="AC41" s="16" t="str">
        <f aca="false">IF(C41="","",IFERROR(INDEX('8. Activity Tracker'!J:J,MATCH(C41,'8. Activity Tracker'!D:D,0)),"n/a"))</f>
        <v/>
      </c>
      <c r="AD41" s="22" t="str">
        <f aca="false">IFERROR(IF(F41="","","Q"&amp;(ROUNDUP((DATEDIF(DATE(2026,6,1),F41,"m")+1)/3,0))),"")</f>
        <v/>
      </c>
      <c r="AE41" s="22" t="str">
        <f aca="false">IFERROR(IF(F41="","",TEXT(F41,"mmm-yy")),"")</f>
        <v/>
      </c>
      <c r="AF41" s="16"/>
    </row>
    <row r="42" customFormat="false" ht="24" hidden="false" customHeight="true" outlineLevel="0" collapsed="false">
      <c r="B42" s="76" t="n">
        <v>36</v>
      </c>
      <c r="C42" s="76"/>
      <c r="D42" s="17"/>
      <c r="E42" s="17"/>
      <c r="F42" s="77"/>
      <c r="G42" s="77"/>
      <c r="H42" s="76" t="str">
        <f aca="false">IFERROR(IF(AND(F42&lt;&gt;"",G42&lt;&gt;""),NETWORKDAYS.INTL(F42,G42,7),""),"")</f>
        <v/>
      </c>
      <c r="I42" s="17"/>
      <c r="J42" s="17"/>
      <c r="K42" s="17"/>
      <c r="L42" s="17"/>
      <c r="M42" s="76"/>
      <c r="N42" s="76"/>
      <c r="O42" s="76"/>
      <c r="P42" s="76"/>
      <c r="Q42" s="76"/>
      <c r="R42" s="76"/>
      <c r="S42" s="76"/>
      <c r="T42" s="76"/>
      <c r="U42" s="76" t="n">
        <f aca="false">IFERROR(SUM(M42:T42),"")</f>
        <v>0</v>
      </c>
      <c r="V42" s="76"/>
      <c r="W42" s="76"/>
      <c r="X42" s="76"/>
      <c r="Y42" s="78" t="str">
        <f aca="false">IFERROR(IF(OR(W42="",X42="",W42=0),"",(X42-W42)/W42),"")</f>
        <v/>
      </c>
      <c r="Z42" s="76" t="str">
        <f aca="false">IF(C42="","",IFERROR(INDEX('8. Activity Tracker'!L:L,MATCH(C42,'8. Activity Tracker'!D:D,0)),"n/a"))</f>
        <v/>
      </c>
      <c r="AA42" s="76" t="str">
        <f aca="false">IFERROR(IF(OR(U42="",ISTEXT(Z42)),"",U42-Z42),"")</f>
        <v/>
      </c>
      <c r="AB42" s="78" t="str">
        <f aca="false">IFERROR(IF(OR(U42="",ISTEXT(Z42),Z42=0),"",U42/Z42),"")</f>
        <v/>
      </c>
      <c r="AC42" s="17" t="str">
        <f aca="false">IF(C42="","",IFERROR(INDEX('8. Activity Tracker'!J:J,MATCH(C42,'8. Activity Tracker'!D:D,0)),"n/a"))</f>
        <v/>
      </c>
      <c r="AD42" s="76" t="str">
        <f aca="false">IFERROR(IF(F42="","","Q"&amp;(ROUNDUP((DATEDIF(DATE(2026,6,1),F42,"m")+1)/3,0))),"")</f>
        <v/>
      </c>
      <c r="AE42" s="76" t="str">
        <f aca="false">IFERROR(IF(F42="","",TEXT(F42,"mmm-yy")),"")</f>
        <v/>
      </c>
      <c r="AF42" s="17"/>
    </row>
    <row r="43" customFormat="false" ht="24" hidden="false" customHeight="true" outlineLevel="0" collapsed="false">
      <c r="B43" s="22" t="n">
        <v>37</v>
      </c>
      <c r="C43" s="22"/>
      <c r="D43" s="16"/>
      <c r="E43" s="16"/>
      <c r="F43" s="75"/>
      <c r="G43" s="75"/>
      <c r="H43" s="22" t="str">
        <f aca="false">IFERROR(IF(AND(F43&lt;&gt;"",G43&lt;&gt;""),NETWORKDAYS.INTL(F43,G43,7),""),"")</f>
        <v/>
      </c>
      <c r="I43" s="16"/>
      <c r="J43" s="16"/>
      <c r="K43" s="16"/>
      <c r="L43" s="16"/>
      <c r="M43" s="49"/>
      <c r="N43" s="49"/>
      <c r="O43" s="49"/>
      <c r="P43" s="49"/>
      <c r="Q43" s="49"/>
      <c r="R43" s="49"/>
      <c r="S43" s="49"/>
      <c r="T43" s="49"/>
      <c r="U43" s="22" t="n">
        <f aca="false">IFERROR(SUM(M43:T43),"")</f>
        <v>0</v>
      </c>
      <c r="V43" s="49"/>
      <c r="W43" s="49"/>
      <c r="X43" s="49"/>
      <c r="Y43" s="68" t="str">
        <f aca="false">IFERROR(IF(OR(W43="",X43="",W43=0),"",(X43-W43)/W43),"")</f>
        <v/>
      </c>
      <c r="Z43" s="22" t="str">
        <f aca="false">IF(C43="","",IFERROR(INDEX('8. Activity Tracker'!L:L,MATCH(C43,'8. Activity Tracker'!D:D,0)),"n/a"))</f>
        <v/>
      </c>
      <c r="AA43" s="22" t="str">
        <f aca="false">IFERROR(IF(OR(U43="",ISTEXT(Z43)),"",U43-Z43),"")</f>
        <v/>
      </c>
      <c r="AB43" s="68" t="str">
        <f aca="false">IFERROR(IF(OR(U43="",ISTEXT(Z43),Z43=0),"",U43/Z43),"")</f>
        <v/>
      </c>
      <c r="AC43" s="16" t="str">
        <f aca="false">IF(C43="","",IFERROR(INDEX('8. Activity Tracker'!J:J,MATCH(C43,'8. Activity Tracker'!D:D,0)),"n/a"))</f>
        <v/>
      </c>
      <c r="AD43" s="22" t="str">
        <f aca="false">IFERROR(IF(F43="","","Q"&amp;(ROUNDUP((DATEDIF(DATE(2026,6,1),F43,"m")+1)/3,0))),"")</f>
        <v/>
      </c>
      <c r="AE43" s="22" t="str">
        <f aca="false">IFERROR(IF(F43="","",TEXT(F43,"mmm-yy")),"")</f>
        <v/>
      </c>
      <c r="AF43" s="16"/>
    </row>
    <row r="44" customFormat="false" ht="24" hidden="false" customHeight="true" outlineLevel="0" collapsed="false">
      <c r="B44" s="76" t="n">
        <v>38</v>
      </c>
      <c r="C44" s="76"/>
      <c r="D44" s="17"/>
      <c r="E44" s="17"/>
      <c r="F44" s="77"/>
      <c r="G44" s="77"/>
      <c r="H44" s="76" t="str">
        <f aca="false">IFERROR(IF(AND(F44&lt;&gt;"",G44&lt;&gt;""),NETWORKDAYS.INTL(F44,G44,7),""),"")</f>
        <v/>
      </c>
      <c r="I44" s="17"/>
      <c r="J44" s="17"/>
      <c r="K44" s="17"/>
      <c r="L44" s="17"/>
      <c r="M44" s="76"/>
      <c r="N44" s="76"/>
      <c r="O44" s="76"/>
      <c r="P44" s="76"/>
      <c r="Q44" s="76"/>
      <c r="R44" s="76"/>
      <c r="S44" s="76"/>
      <c r="T44" s="76"/>
      <c r="U44" s="76" t="n">
        <f aca="false">IFERROR(SUM(M44:T44),"")</f>
        <v>0</v>
      </c>
      <c r="V44" s="76"/>
      <c r="W44" s="76"/>
      <c r="X44" s="76"/>
      <c r="Y44" s="78" t="str">
        <f aca="false">IFERROR(IF(OR(W44="",X44="",W44=0),"",(X44-W44)/W44),"")</f>
        <v/>
      </c>
      <c r="Z44" s="76" t="str">
        <f aca="false">IF(C44="","",IFERROR(INDEX('8. Activity Tracker'!L:L,MATCH(C44,'8. Activity Tracker'!D:D,0)),"n/a"))</f>
        <v/>
      </c>
      <c r="AA44" s="76" t="str">
        <f aca="false">IFERROR(IF(OR(U44="",ISTEXT(Z44)),"",U44-Z44),"")</f>
        <v/>
      </c>
      <c r="AB44" s="78" t="str">
        <f aca="false">IFERROR(IF(OR(U44="",ISTEXT(Z44),Z44=0),"",U44/Z44),"")</f>
        <v/>
      </c>
      <c r="AC44" s="17" t="str">
        <f aca="false">IF(C44="","",IFERROR(INDEX('8. Activity Tracker'!J:J,MATCH(C44,'8. Activity Tracker'!D:D,0)),"n/a"))</f>
        <v/>
      </c>
      <c r="AD44" s="76" t="str">
        <f aca="false">IFERROR(IF(F44="","","Q"&amp;(ROUNDUP((DATEDIF(DATE(2026,6,1),F44,"m")+1)/3,0))),"")</f>
        <v/>
      </c>
      <c r="AE44" s="76" t="str">
        <f aca="false">IFERROR(IF(F44="","",TEXT(F44,"mmm-yy")),"")</f>
        <v/>
      </c>
      <c r="AF44" s="17"/>
    </row>
    <row r="45" customFormat="false" ht="24" hidden="false" customHeight="true" outlineLevel="0" collapsed="false">
      <c r="B45" s="22" t="n">
        <v>39</v>
      </c>
      <c r="C45" s="22"/>
      <c r="D45" s="16"/>
      <c r="E45" s="16"/>
      <c r="F45" s="75"/>
      <c r="G45" s="75"/>
      <c r="H45" s="22" t="str">
        <f aca="false">IFERROR(IF(AND(F45&lt;&gt;"",G45&lt;&gt;""),NETWORKDAYS.INTL(F45,G45,7),""),"")</f>
        <v/>
      </c>
      <c r="I45" s="16"/>
      <c r="J45" s="16"/>
      <c r="K45" s="16"/>
      <c r="L45" s="16"/>
      <c r="M45" s="49"/>
      <c r="N45" s="49"/>
      <c r="O45" s="49"/>
      <c r="P45" s="49"/>
      <c r="Q45" s="49"/>
      <c r="R45" s="49"/>
      <c r="S45" s="49"/>
      <c r="T45" s="49"/>
      <c r="U45" s="22" t="n">
        <f aca="false">IFERROR(SUM(M45:T45),"")</f>
        <v>0</v>
      </c>
      <c r="V45" s="49"/>
      <c r="W45" s="49"/>
      <c r="X45" s="49"/>
      <c r="Y45" s="68" t="str">
        <f aca="false">IFERROR(IF(OR(W45="",X45="",W45=0),"",(X45-W45)/W45),"")</f>
        <v/>
      </c>
      <c r="Z45" s="22" t="str">
        <f aca="false">IF(C45="","",IFERROR(INDEX('8. Activity Tracker'!L:L,MATCH(C45,'8. Activity Tracker'!D:D,0)),"n/a"))</f>
        <v/>
      </c>
      <c r="AA45" s="22" t="str">
        <f aca="false">IFERROR(IF(OR(U45="",ISTEXT(Z45)),"",U45-Z45),"")</f>
        <v/>
      </c>
      <c r="AB45" s="68" t="str">
        <f aca="false">IFERROR(IF(OR(U45="",ISTEXT(Z45),Z45=0),"",U45/Z45),"")</f>
        <v/>
      </c>
      <c r="AC45" s="16" t="str">
        <f aca="false">IF(C45="","",IFERROR(INDEX('8. Activity Tracker'!J:J,MATCH(C45,'8. Activity Tracker'!D:D,0)),"n/a"))</f>
        <v/>
      </c>
      <c r="AD45" s="22" t="str">
        <f aca="false">IFERROR(IF(F45="","","Q"&amp;(ROUNDUP((DATEDIF(DATE(2026,6,1),F45,"m")+1)/3,0))),"")</f>
        <v/>
      </c>
      <c r="AE45" s="22" t="str">
        <f aca="false">IFERROR(IF(F45="","",TEXT(F45,"mmm-yy")),"")</f>
        <v/>
      </c>
      <c r="AF45" s="16"/>
    </row>
    <row r="46" customFormat="false" ht="24" hidden="false" customHeight="true" outlineLevel="0" collapsed="false">
      <c r="B46" s="76" t="n">
        <v>40</v>
      </c>
      <c r="C46" s="76"/>
      <c r="D46" s="17"/>
      <c r="E46" s="17"/>
      <c r="F46" s="77"/>
      <c r="G46" s="77"/>
      <c r="H46" s="76" t="str">
        <f aca="false">IFERROR(IF(AND(F46&lt;&gt;"",G46&lt;&gt;""),NETWORKDAYS.INTL(F46,G46,7),""),"")</f>
        <v/>
      </c>
      <c r="I46" s="17"/>
      <c r="J46" s="17"/>
      <c r="K46" s="17"/>
      <c r="L46" s="17"/>
      <c r="M46" s="76"/>
      <c r="N46" s="76"/>
      <c r="O46" s="76"/>
      <c r="P46" s="76"/>
      <c r="Q46" s="76"/>
      <c r="R46" s="76"/>
      <c r="S46" s="76"/>
      <c r="T46" s="76"/>
      <c r="U46" s="76" t="n">
        <f aca="false">IFERROR(SUM(M46:T46),"")</f>
        <v>0</v>
      </c>
      <c r="V46" s="76"/>
      <c r="W46" s="76"/>
      <c r="X46" s="76"/>
      <c r="Y46" s="78" t="str">
        <f aca="false">IFERROR(IF(OR(W46="",X46="",W46=0),"",(X46-W46)/W46),"")</f>
        <v/>
      </c>
      <c r="Z46" s="76" t="str">
        <f aca="false">IF(C46="","",IFERROR(INDEX('8. Activity Tracker'!L:L,MATCH(C46,'8. Activity Tracker'!D:D,0)),"n/a"))</f>
        <v/>
      </c>
      <c r="AA46" s="76" t="str">
        <f aca="false">IFERROR(IF(OR(U46="",ISTEXT(Z46)),"",U46-Z46),"")</f>
        <v/>
      </c>
      <c r="AB46" s="78" t="str">
        <f aca="false">IFERROR(IF(OR(U46="",ISTEXT(Z46),Z46=0),"",U46/Z46),"")</f>
        <v/>
      </c>
      <c r="AC46" s="17" t="str">
        <f aca="false">IF(C46="","",IFERROR(INDEX('8. Activity Tracker'!J:J,MATCH(C46,'8. Activity Tracker'!D:D,0)),"n/a"))</f>
        <v/>
      </c>
      <c r="AD46" s="76" t="str">
        <f aca="false">IFERROR(IF(F46="","","Q"&amp;(ROUNDUP((DATEDIF(DATE(2026,6,1),F46,"m")+1)/3,0))),"")</f>
        <v/>
      </c>
      <c r="AE46" s="76" t="str">
        <f aca="false">IFERROR(IF(F46="","",TEXT(F46,"mmm-yy")),"")</f>
        <v/>
      </c>
      <c r="AF46" s="17"/>
    </row>
    <row r="48" customFormat="false" ht="21.75" hidden="false" customHeight="true" outlineLevel="0" collapsed="false">
      <c r="D48" s="46" t="s">
        <v>1558</v>
      </c>
      <c r="M48" s="46" t="n">
        <f aca="false">SUM(M7:M46)</f>
        <v>0</v>
      </c>
      <c r="N48" s="46" t="n">
        <f aca="false">SUM(N7:N46)</f>
        <v>0</v>
      </c>
      <c r="O48" s="46" t="n">
        <f aca="false">SUM(O7:O46)</f>
        <v>0</v>
      </c>
      <c r="P48" s="46" t="n">
        <f aca="false">SUM(P7:P46)</f>
        <v>0</v>
      </c>
      <c r="Q48" s="46" t="n">
        <f aca="false">SUM(Q7:Q46)</f>
        <v>0</v>
      </c>
      <c r="R48" s="46" t="n">
        <f aca="false">SUM(R7:R46)</f>
        <v>0</v>
      </c>
      <c r="S48" s="46" t="n">
        <f aca="false">SUM(S7:S46)</f>
        <v>0</v>
      </c>
      <c r="T48" s="46" t="n">
        <f aca="false">SUM(T7:T46)</f>
        <v>0</v>
      </c>
      <c r="U48" s="46" t="n">
        <f aca="false">SUM(U7:U46)</f>
        <v>0</v>
      </c>
      <c r="V48" s="46" t="n">
        <f aca="false">SUM(V7:V46)</f>
        <v>0</v>
      </c>
    </row>
  </sheetData>
  <autoFilter ref="B6:AF46"/>
  <mergeCells count="27">
    <mergeCell ref="B2:AF2"/>
    <mergeCell ref="B3:AF3"/>
    <mergeCell ref="B5:B6"/>
    <mergeCell ref="C5:C6"/>
    <mergeCell ref="D5:D6"/>
    <mergeCell ref="E5:E6"/>
    <mergeCell ref="F5:F6"/>
    <mergeCell ref="G5:G6"/>
    <mergeCell ref="H5:H6"/>
    <mergeCell ref="I5:I6"/>
    <mergeCell ref="J5:J6"/>
    <mergeCell ref="K5:K6"/>
    <mergeCell ref="L5:L6"/>
    <mergeCell ref="M5:P5"/>
    <mergeCell ref="Q5:T5"/>
    <mergeCell ref="U5:U6"/>
    <mergeCell ref="V5:V6"/>
    <mergeCell ref="W5:W6"/>
    <mergeCell ref="X5:X6"/>
    <mergeCell ref="Y5:Y6"/>
    <mergeCell ref="Z5:Z6"/>
    <mergeCell ref="AA5:AA6"/>
    <mergeCell ref="AB5:AB6"/>
    <mergeCell ref="AC5:AC6"/>
    <mergeCell ref="AD5:AD6"/>
    <mergeCell ref="AE5:AE6"/>
    <mergeCell ref="AF5:AF6"/>
  </mergeCells>
  <conditionalFormatting sqref="AA7:AA46">
    <cfRule type="expression" priority="2" aboveAverage="0" equalAverage="0" bottom="0" percent="0" rank="0" text="" dxfId="12">
      <formula>AND(AA7&lt;&gt;"",AA7&lt;0)</formula>
    </cfRule>
    <cfRule type="expression" priority="3" aboveAverage="0" equalAverage="0" bottom="0" percent="0" rank="0" text="" dxfId="10">
      <formula>AND(AA7&lt;&gt;"",AA7&gt;=0)</formula>
    </cfRule>
  </conditionalFormatting>
  <conditionalFormatting sqref="F7:F46">
    <cfRule type="expression" priority="4" aboveAverage="0" equalAverage="0" bottom="0" percent="0" rank="0" text="" dxfId="12">
      <formula>AND(F7="",U7&gt;0)</formula>
    </cfRule>
  </conditionalFormatting>
  <dataValidations count="2">
    <dataValidation allowBlank="true" errorStyle="stop" operator="between" showDropDown="false" showErrorMessage="false" showInputMessage="false" sqref="J7:J46" type="list">
      <formula1>"Budgetary,Non-budgetary"</formula1>
      <formula2>0</formula2>
    </dataValidation>
    <dataValidation allowBlank="true" errorStyle="stop" operator="between" showDropDown="false" showErrorMessage="false" showInputMessage="false" sqref="C7:C46" type="list">
      <formula1>'8. Activity Tracker'!$D$7:$D$93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K4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12"/>
    <col collapsed="false" customWidth="true" hidden="false" outlineLevel="0" max="4" min="4" style="0" width="22"/>
    <col collapsed="false" customWidth="true" hidden="false" outlineLevel="0" max="5" min="5" style="0" width="10"/>
    <col collapsed="false" customWidth="true" hidden="false" outlineLevel="0" max="6" min="6" style="0" width="12"/>
    <col collapsed="false" customWidth="true" hidden="false" outlineLevel="0" max="7" min="7" style="0" width="11"/>
    <col collapsed="false" customWidth="true" hidden="false" outlineLevel="0" max="8" min="8" style="0" width="13"/>
    <col collapsed="false" customWidth="true" hidden="false" outlineLevel="0" max="9" min="9" style="0" width="14"/>
    <col collapsed="false" customWidth="true" hidden="false" outlineLevel="0" max="10" min="10" style="0" width="12"/>
    <col collapsed="false" customWidth="true" hidden="false" outlineLevel="0" max="11" min="11" style="0" width="16"/>
    <col collapsed="false" customWidth="true" hidden="false" outlineLevel="0" max="13" min="12" style="0" width="8"/>
    <col collapsed="false" customWidth="true" hidden="false" outlineLevel="0" max="14" min="14" style="0" width="9"/>
    <col collapsed="false" customWidth="true" hidden="false" outlineLevel="0" max="22" min="15" style="0" width="7"/>
    <col collapsed="false" customWidth="true" hidden="false" outlineLevel="0" max="23" min="23" style="0" width="9"/>
    <col collapsed="false" customWidth="true" hidden="false" outlineLevel="0" max="25" min="24" style="0" width="8"/>
    <col collapsed="false" customWidth="true" hidden="false" outlineLevel="0" max="26" min="26" style="0" width="11"/>
    <col collapsed="false" customWidth="true" hidden="false" outlineLevel="0" max="27" min="27" style="0" width="22"/>
    <col collapsed="false" customWidth="true" hidden="false" outlineLevel="0" max="28" min="28" style="0" width="8"/>
    <col collapsed="false" customWidth="true" hidden="false" outlineLevel="0" max="29" min="29" style="0" width="11"/>
    <col collapsed="false" customWidth="true" hidden="false" outlineLevel="0" max="30" min="30" style="0" width="22"/>
    <col collapsed="false" customWidth="true" hidden="false" outlineLevel="0" max="32" min="31" style="0" width="10"/>
    <col collapsed="false" customWidth="true" hidden="false" outlineLevel="0" max="33" min="33" style="0" width="8"/>
    <col collapsed="false" customWidth="true" hidden="false" outlineLevel="0" max="34" min="34" style="0" width="16"/>
    <col collapsed="false" customWidth="true" hidden="false" outlineLevel="0" max="35" min="35" style="0" width="8"/>
    <col collapsed="false" customWidth="true" hidden="false" outlineLevel="0" max="36" min="36" style="0" width="10"/>
    <col collapsed="false" customWidth="true" hidden="false" outlineLevel="0" max="37" min="37" style="0" width="30"/>
  </cols>
  <sheetData>
    <row r="2" customFormat="false" ht="21.75" hidden="false" customHeight="true" outlineLevel="0" collapsed="false">
      <c r="B2" s="12" t="s">
        <v>1559</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row>
    <row r="3" customFormat="false" ht="43.25" hidden="false" customHeight="true" outlineLevel="0" collapsed="false">
      <c r="B3" s="13" t="s">
        <v>1560</v>
      </c>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row>
    <row r="5" customFormat="false" ht="25.5" hidden="false" customHeight="true" outlineLevel="0" collapsed="false">
      <c r="B5" s="18" t="s">
        <v>1533</v>
      </c>
      <c r="C5" s="18" t="s">
        <v>1079</v>
      </c>
      <c r="D5" s="18" t="s">
        <v>1561</v>
      </c>
      <c r="E5" s="18" t="s">
        <v>416</v>
      </c>
      <c r="F5" s="18" t="s">
        <v>1562</v>
      </c>
      <c r="G5" s="18" t="s">
        <v>1563</v>
      </c>
      <c r="H5" s="18" t="s">
        <v>1564</v>
      </c>
      <c r="I5" s="18" t="s">
        <v>1540</v>
      </c>
      <c r="J5" s="18" t="s">
        <v>1539</v>
      </c>
      <c r="K5" s="18" t="s">
        <v>1565</v>
      </c>
      <c r="L5" s="18" t="s">
        <v>403</v>
      </c>
      <c r="M5" s="18" t="s">
        <v>1566</v>
      </c>
      <c r="N5" s="18" t="s">
        <v>1567</v>
      </c>
      <c r="O5" s="19" t="s">
        <v>1568</v>
      </c>
      <c r="P5" s="19"/>
      <c r="Q5" s="19"/>
      <c r="R5" s="19"/>
      <c r="S5" s="48" t="s">
        <v>1569</v>
      </c>
      <c r="T5" s="48"/>
      <c r="U5" s="48"/>
      <c r="V5" s="48"/>
      <c r="W5" s="18" t="s">
        <v>1570</v>
      </c>
      <c r="X5" s="18" t="s">
        <v>1545</v>
      </c>
      <c r="Y5" s="18" t="s">
        <v>1571</v>
      </c>
      <c r="Z5" s="18" t="s">
        <v>1572</v>
      </c>
      <c r="AA5" s="18" t="s">
        <v>1573</v>
      </c>
      <c r="AB5" s="18" t="s">
        <v>1574</v>
      </c>
      <c r="AC5" s="18" t="s">
        <v>1575</v>
      </c>
      <c r="AD5" s="18" t="s">
        <v>1576</v>
      </c>
      <c r="AE5" s="18" t="s">
        <v>1549</v>
      </c>
      <c r="AF5" s="18" t="s">
        <v>1550</v>
      </c>
      <c r="AG5" s="18" t="s">
        <v>1551</v>
      </c>
      <c r="AH5" s="18" t="s">
        <v>1552</v>
      </c>
      <c r="AI5" s="18" t="s">
        <v>1553</v>
      </c>
      <c r="AJ5" s="18" t="s">
        <v>1554</v>
      </c>
      <c r="AK5" s="18" t="s">
        <v>1577</v>
      </c>
    </row>
    <row r="6" customFormat="false" ht="25.5" hidden="false" customHeight="true" outlineLevel="0" collapsed="false">
      <c r="B6" s="18"/>
      <c r="C6" s="18"/>
      <c r="D6" s="18"/>
      <c r="E6" s="18"/>
      <c r="F6" s="18"/>
      <c r="G6" s="18"/>
      <c r="H6" s="18"/>
      <c r="I6" s="18"/>
      <c r="J6" s="18"/>
      <c r="K6" s="18"/>
      <c r="L6" s="18"/>
      <c r="M6" s="18"/>
      <c r="N6" s="18"/>
      <c r="O6" s="71" t="s">
        <v>821</v>
      </c>
      <c r="P6" s="71" t="s">
        <v>1556</v>
      </c>
      <c r="Q6" s="71" t="s">
        <v>820</v>
      </c>
      <c r="R6" s="71" t="s">
        <v>1557</v>
      </c>
      <c r="S6" s="64" t="s">
        <v>821</v>
      </c>
      <c r="T6" s="64" t="s">
        <v>1556</v>
      </c>
      <c r="U6" s="64" t="s">
        <v>820</v>
      </c>
      <c r="V6" s="64" t="s">
        <v>1557</v>
      </c>
      <c r="W6" s="18"/>
      <c r="X6" s="18"/>
      <c r="Y6" s="18"/>
      <c r="Z6" s="18"/>
      <c r="AA6" s="18"/>
      <c r="AB6" s="18"/>
      <c r="AC6" s="18"/>
      <c r="AD6" s="18"/>
      <c r="AE6" s="18"/>
      <c r="AF6" s="18"/>
      <c r="AG6" s="18"/>
      <c r="AH6" s="18"/>
      <c r="AI6" s="18"/>
      <c r="AJ6" s="18"/>
      <c r="AK6" s="18"/>
    </row>
    <row r="7" customFormat="false" ht="24" hidden="false" customHeight="true" outlineLevel="0" collapsed="false">
      <c r="B7" s="22" t="n">
        <v>1</v>
      </c>
      <c r="C7" s="22"/>
      <c r="D7" s="16"/>
      <c r="E7" s="16"/>
      <c r="F7" s="16"/>
      <c r="G7" s="75"/>
      <c r="H7" s="16"/>
      <c r="I7" s="16"/>
      <c r="J7" s="16"/>
      <c r="K7" s="16"/>
      <c r="L7" s="22"/>
      <c r="M7" s="49"/>
      <c r="N7" s="49"/>
      <c r="O7" s="49"/>
      <c r="P7" s="49"/>
      <c r="Q7" s="49"/>
      <c r="R7" s="49"/>
      <c r="S7" s="49"/>
      <c r="T7" s="49"/>
      <c r="U7" s="49"/>
      <c r="V7" s="49"/>
      <c r="W7" s="22" t="n">
        <f aca="false">IFERROR(SUM(O7:V7),"")</f>
        <v>0</v>
      </c>
      <c r="X7" s="49"/>
      <c r="Y7" s="22"/>
      <c r="Z7" s="75"/>
      <c r="AA7" s="16"/>
      <c r="AB7" s="22"/>
      <c r="AC7" s="75"/>
      <c r="AD7" s="16"/>
      <c r="AE7" s="22" t="str">
        <f aca="false">IF(C7="","",IFERROR(INDEX('8. Activity Tracker'!L:L,MATCH(C7,'8. Activity Tracker'!D:D,0)),"n/a"))</f>
        <v/>
      </c>
      <c r="AF7" s="22" t="str">
        <f aca="false">IFERROR(IF(OR(W7="",ISTEXT(AE7)),"",W7-AE7),"")</f>
        <v/>
      </c>
      <c r="AG7" s="68" t="str">
        <f aca="false">IFERROR(IF(OR(W7="",ISTEXT(AE7),AE7=0),"",W7/AE7),"")</f>
        <v/>
      </c>
      <c r="AH7" s="16" t="str">
        <f aca="false">IF(C7="","",IFERROR(INDEX('8. Activity Tracker'!J:J,MATCH(C7,'8. Activity Tracker'!D:D,0)),"n/a"))</f>
        <v/>
      </c>
      <c r="AI7" s="22" t="str">
        <f aca="false">IFERROR(IF(G7="","","Q"&amp;(ROUNDUP((DATEDIF(DATE(2026,6,1),G7,"m")+1)/3,0))),"")</f>
        <v/>
      </c>
      <c r="AJ7" s="22" t="str">
        <f aca="false">IFERROR(IF(G7="","",TEXT(G7,"mmm-yy")),"")</f>
        <v/>
      </c>
      <c r="AK7" s="16" t="str">
        <f aca="false">IFERROR(IF(K7="","","During "&amp;IF(AJ7="","[reporting period]",AJ7)&amp;", FIVDB distributed "&amp;N7&amp;" units of "&amp;K7&amp;" to "&amp;W7&amp;" recipients"&amp;IF(F7&lt;&gt;""," at "&amp;F7,"")&amp;". "&amp;"Result: [P]% of "&amp;AE7&amp;" target reached."),"")</f>
        <v/>
      </c>
    </row>
    <row r="8" customFormat="false" ht="24" hidden="false" customHeight="true" outlineLevel="0" collapsed="false">
      <c r="B8" s="76" t="n">
        <v>2</v>
      </c>
      <c r="C8" s="76"/>
      <c r="D8" s="17"/>
      <c r="E8" s="17"/>
      <c r="F8" s="17"/>
      <c r="G8" s="77"/>
      <c r="H8" s="17"/>
      <c r="I8" s="17"/>
      <c r="J8" s="17"/>
      <c r="K8" s="17"/>
      <c r="L8" s="76"/>
      <c r="M8" s="76"/>
      <c r="N8" s="76"/>
      <c r="O8" s="76"/>
      <c r="P8" s="76"/>
      <c r="Q8" s="76"/>
      <c r="R8" s="76"/>
      <c r="S8" s="76"/>
      <c r="T8" s="76"/>
      <c r="U8" s="76"/>
      <c r="V8" s="76"/>
      <c r="W8" s="76" t="n">
        <f aca="false">IFERROR(SUM(O8:V8),"")</f>
        <v>0</v>
      </c>
      <c r="X8" s="76"/>
      <c r="Y8" s="76"/>
      <c r="Z8" s="77"/>
      <c r="AA8" s="17"/>
      <c r="AB8" s="76"/>
      <c r="AC8" s="77"/>
      <c r="AD8" s="17"/>
      <c r="AE8" s="76" t="str">
        <f aca="false">IF(C8="","",IFERROR(INDEX('8. Activity Tracker'!L:L,MATCH(C8,'8. Activity Tracker'!D:D,0)),"n/a"))</f>
        <v/>
      </c>
      <c r="AF8" s="76" t="str">
        <f aca="false">IFERROR(IF(OR(W8="",ISTEXT(AE8)),"",W8-AE8),"")</f>
        <v/>
      </c>
      <c r="AG8" s="78" t="str">
        <f aca="false">IFERROR(IF(OR(W8="",ISTEXT(AE8),AE8=0),"",W8/AE8),"")</f>
        <v/>
      </c>
      <c r="AH8" s="17" t="str">
        <f aca="false">IF(C8="","",IFERROR(INDEX('8. Activity Tracker'!J:J,MATCH(C8,'8. Activity Tracker'!D:D,0)),"n/a"))</f>
        <v/>
      </c>
      <c r="AI8" s="76" t="str">
        <f aca="false">IFERROR(IF(G8="","","Q"&amp;(ROUNDUP((DATEDIF(DATE(2026,6,1),G8,"m")+1)/3,0))),"")</f>
        <v/>
      </c>
      <c r="AJ8" s="76" t="str">
        <f aca="false">IFERROR(IF(G8="","",TEXT(G8,"mmm-yy")),"")</f>
        <v/>
      </c>
      <c r="AK8" s="17" t="str">
        <f aca="false">IFERROR(IF(K8="","","During "&amp;IF(AJ8="","[reporting period]",AJ8)&amp;", FIVDB distributed "&amp;N8&amp;" units of "&amp;K8&amp;" to "&amp;W8&amp;" recipients"&amp;IF(F8&lt;&gt;""," at "&amp;F8,"")&amp;". "&amp;"Result: [P]% of "&amp;AE8&amp;" target reached."),"")</f>
        <v/>
      </c>
    </row>
    <row r="9" customFormat="false" ht="24" hidden="false" customHeight="true" outlineLevel="0" collapsed="false">
      <c r="B9" s="22" t="n">
        <v>3</v>
      </c>
      <c r="C9" s="22"/>
      <c r="D9" s="16"/>
      <c r="E9" s="16"/>
      <c r="F9" s="16"/>
      <c r="G9" s="75"/>
      <c r="H9" s="16"/>
      <c r="I9" s="16"/>
      <c r="J9" s="16"/>
      <c r="K9" s="16"/>
      <c r="L9" s="22"/>
      <c r="M9" s="49"/>
      <c r="N9" s="49"/>
      <c r="O9" s="49"/>
      <c r="P9" s="49"/>
      <c r="Q9" s="49"/>
      <c r="R9" s="49"/>
      <c r="S9" s="49"/>
      <c r="T9" s="49"/>
      <c r="U9" s="49"/>
      <c r="V9" s="49"/>
      <c r="W9" s="22" t="n">
        <f aca="false">IFERROR(SUM(O9:V9),"")</f>
        <v>0</v>
      </c>
      <c r="X9" s="49"/>
      <c r="Y9" s="22"/>
      <c r="Z9" s="75"/>
      <c r="AA9" s="16"/>
      <c r="AB9" s="22"/>
      <c r="AC9" s="75"/>
      <c r="AD9" s="16"/>
      <c r="AE9" s="22" t="str">
        <f aca="false">IF(C9="","",IFERROR(INDEX('8. Activity Tracker'!L:L,MATCH(C9,'8. Activity Tracker'!D:D,0)),"n/a"))</f>
        <v/>
      </c>
      <c r="AF9" s="22" t="str">
        <f aca="false">IFERROR(IF(OR(W9="",ISTEXT(AE9)),"",W9-AE9),"")</f>
        <v/>
      </c>
      <c r="AG9" s="68" t="str">
        <f aca="false">IFERROR(IF(OR(W9="",ISTEXT(AE9),AE9=0),"",W9/AE9),"")</f>
        <v/>
      </c>
      <c r="AH9" s="16" t="str">
        <f aca="false">IF(C9="","",IFERROR(INDEX('8. Activity Tracker'!J:J,MATCH(C9,'8. Activity Tracker'!D:D,0)),"n/a"))</f>
        <v/>
      </c>
      <c r="AI9" s="22" t="str">
        <f aca="false">IFERROR(IF(G9="","","Q"&amp;(ROUNDUP((DATEDIF(DATE(2026,6,1),G9,"m")+1)/3,0))),"")</f>
        <v/>
      </c>
      <c r="AJ9" s="22" t="str">
        <f aca="false">IFERROR(IF(G9="","",TEXT(G9,"mmm-yy")),"")</f>
        <v/>
      </c>
      <c r="AK9" s="16" t="str">
        <f aca="false">IFERROR(IF(K9="","","During "&amp;IF(AJ9="","[reporting period]",AJ9)&amp;", FIVDB distributed "&amp;N9&amp;" units of "&amp;K9&amp;" to "&amp;W9&amp;" recipients"&amp;IF(F9&lt;&gt;""," at "&amp;F9,"")&amp;". "&amp;"Result: [P]% of "&amp;AE9&amp;" target reached."),"")</f>
        <v/>
      </c>
    </row>
    <row r="10" customFormat="false" ht="24" hidden="false" customHeight="true" outlineLevel="0" collapsed="false">
      <c r="B10" s="76" t="n">
        <v>4</v>
      </c>
      <c r="C10" s="76"/>
      <c r="D10" s="17"/>
      <c r="E10" s="17"/>
      <c r="F10" s="17"/>
      <c r="G10" s="77"/>
      <c r="H10" s="17"/>
      <c r="I10" s="17"/>
      <c r="J10" s="17"/>
      <c r="K10" s="17"/>
      <c r="L10" s="76"/>
      <c r="M10" s="76"/>
      <c r="N10" s="76"/>
      <c r="O10" s="76"/>
      <c r="P10" s="76"/>
      <c r="Q10" s="76"/>
      <c r="R10" s="76"/>
      <c r="S10" s="76"/>
      <c r="T10" s="76"/>
      <c r="U10" s="76"/>
      <c r="V10" s="76"/>
      <c r="W10" s="76" t="n">
        <f aca="false">IFERROR(SUM(O10:V10),"")</f>
        <v>0</v>
      </c>
      <c r="X10" s="76"/>
      <c r="Y10" s="76"/>
      <c r="Z10" s="77"/>
      <c r="AA10" s="17"/>
      <c r="AB10" s="76"/>
      <c r="AC10" s="77"/>
      <c r="AD10" s="17"/>
      <c r="AE10" s="76" t="str">
        <f aca="false">IF(C10="","",IFERROR(INDEX('8. Activity Tracker'!L:L,MATCH(C10,'8. Activity Tracker'!D:D,0)),"n/a"))</f>
        <v/>
      </c>
      <c r="AF10" s="76" t="str">
        <f aca="false">IFERROR(IF(OR(W10="",ISTEXT(AE10)),"",W10-AE10),"")</f>
        <v/>
      </c>
      <c r="AG10" s="78" t="str">
        <f aca="false">IFERROR(IF(OR(W10="",ISTEXT(AE10),AE10=0),"",W10/AE10),"")</f>
        <v/>
      </c>
      <c r="AH10" s="17" t="str">
        <f aca="false">IF(C10="","",IFERROR(INDEX('8. Activity Tracker'!J:J,MATCH(C10,'8. Activity Tracker'!D:D,0)),"n/a"))</f>
        <v/>
      </c>
      <c r="AI10" s="76" t="str">
        <f aca="false">IFERROR(IF(G10="","","Q"&amp;(ROUNDUP((DATEDIF(DATE(2026,6,1),G10,"m")+1)/3,0))),"")</f>
        <v/>
      </c>
      <c r="AJ10" s="76" t="str">
        <f aca="false">IFERROR(IF(G10="","",TEXT(G10,"mmm-yy")),"")</f>
        <v/>
      </c>
      <c r="AK10" s="17" t="str">
        <f aca="false">IFERROR(IF(K10="","","During "&amp;IF(AJ10="","[reporting period]",AJ10)&amp;", FIVDB distributed "&amp;N10&amp;" units of "&amp;K10&amp;" to "&amp;W10&amp;" recipients"&amp;IF(F10&lt;&gt;""," at "&amp;F10,"")&amp;". "&amp;"Result: [P]% of "&amp;AE10&amp;" target reached."),"")</f>
        <v/>
      </c>
    </row>
    <row r="11" customFormat="false" ht="24" hidden="false" customHeight="true" outlineLevel="0" collapsed="false">
      <c r="B11" s="22" t="n">
        <v>5</v>
      </c>
      <c r="C11" s="22"/>
      <c r="D11" s="16"/>
      <c r="E11" s="16"/>
      <c r="F11" s="16"/>
      <c r="G11" s="75"/>
      <c r="H11" s="16"/>
      <c r="I11" s="16"/>
      <c r="J11" s="16"/>
      <c r="K11" s="16"/>
      <c r="L11" s="22"/>
      <c r="M11" s="49"/>
      <c r="N11" s="49"/>
      <c r="O11" s="49"/>
      <c r="P11" s="49"/>
      <c r="Q11" s="49"/>
      <c r="R11" s="49"/>
      <c r="S11" s="49"/>
      <c r="T11" s="49"/>
      <c r="U11" s="49"/>
      <c r="V11" s="49"/>
      <c r="W11" s="22" t="n">
        <f aca="false">IFERROR(SUM(O11:V11),"")</f>
        <v>0</v>
      </c>
      <c r="X11" s="49"/>
      <c r="Y11" s="22"/>
      <c r="Z11" s="75"/>
      <c r="AA11" s="16"/>
      <c r="AB11" s="22"/>
      <c r="AC11" s="75"/>
      <c r="AD11" s="16"/>
      <c r="AE11" s="22" t="str">
        <f aca="false">IF(C11="","",IFERROR(INDEX('8. Activity Tracker'!L:L,MATCH(C11,'8. Activity Tracker'!D:D,0)),"n/a"))</f>
        <v/>
      </c>
      <c r="AF11" s="22" t="str">
        <f aca="false">IFERROR(IF(OR(W11="",ISTEXT(AE11)),"",W11-AE11),"")</f>
        <v/>
      </c>
      <c r="AG11" s="68" t="str">
        <f aca="false">IFERROR(IF(OR(W11="",ISTEXT(AE11),AE11=0),"",W11/AE11),"")</f>
        <v/>
      </c>
      <c r="AH11" s="16" t="str">
        <f aca="false">IF(C11="","",IFERROR(INDEX('8. Activity Tracker'!J:J,MATCH(C11,'8. Activity Tracker'!D:D,0)),"n/a"))</f>
        <v/>
      </c>
      <c r="AI11" s="22" t="str">
        <f aca="false">IFERROR(IF(G11="","","Q"&amp;(ROUNDUP((DATEDIF(DATE(2026,6,1),G11,"m")+1)/3,0))),"")</f>
        <v/>
      </c>
      <c r="AJ11" s="22" t="str">
        <f aca="false">IFERROR(IF(G11="","",TEXT(G11,"mmm-yy")),"")</f>
        <v/>
      </c>
      <c r="AK11" s="16" t="str">
        <f aca="false">IFERROR(IF(K11="","","During "&amp;IF(AJ11="","[reporting period]",AJ11)&amp;", FIVDB distributed "&amp;N11&amp;" units of "&amp;K11&amp;" to "&amp;W11&amp;" recipients"&amp;IF(F11&lt;&gt;""," at "&amp;F11,"")&amp;". "&amp;"Result: [P]% of "&amp;AE11&amp;" target reached."),"")</f>
        <v/>
      </c>
    </row>
    <row r="12" customFormat="false" ht="24" hidden="false" customHeight="true" outlineLevel="0" collapsed="false">
      <c r="B12" s="76" t="n">
        <v>6</v>
      </c>
      <c r="C12" s="76"/>
      <c r="D12" s="17"/>
      <c r="E12" s="17"/>
      <c r="F12" s="17"/>
      <c r="G12" s="77"/>
      <c r="H12" s="17"/>
      <c r="I12" s="17"/>
      <c r="J12" s="17"/>
      <c r="K12" s="17"/>
      <c r="L12" s="76"/>
      <c r="M12" s="76"/>
      <c r="N12" s="76"/>
      <c r="O12" s="76"/>
      <c r="P12" s="76"/>
      <c r="Q12" s="76"/>
      <c r="R12" s="76"/>
      <c r="S12" s="76"/>
      <c r="T12" s="76"/>
      <c r="U12" s="76"/>
      <c r="V12" s="76"/>
      <c r="W12" s="76" t="n">
        <f aca="false">IFERROR(SUM(O12:V12),"")</f>
        <v>0</v>
      </c>
      <c r="X12" s="76"/>
      <c r="Y12" s="76"/>
      <c r="Z12" s="77"/>
      <c r="AA12" s="17"/>
      <c r="AB12" s="76"/>
      <c r="AC12" s="77"/>
      <c r="AD12" s="17"/>
      <c r="AE12" s="76" t="str">
        <f aca="false">IF(C12="","",IFERROR(INDEX('8. Activity Tracker'!L:L,MATCH(C12,'8. Activity Tracker'!D:D,0)),"n/a"))</f>
        <v/>
      </c>
      <c r="AF12" s="76" t="str">
        <f aca="false">IFERROR(IF(OR(W12="",ISTEXT(AE12)),"",W12-AE12),"")</f>
        <v/>
      </c>
      <c r="AG12" s="78" t="str">
        <f aca="false">IFERROR(IF(OR(W12="",ISTEXT(AE12),AE12=0),"",W12/AE12),"")</f>
        <v/>
      </c>
      <c r="AH12" s="17" t="str">
        <f aca="false">IF(C12="","",IFERROR(INDEX('8. Activity Tracker'!J:J,MATCH(C12,'8. Activity Tracker'!D:D,0)),"n/a"))</f>
        <v/>
      </c>
      <c r="AI12" s="76" t="str">
        <f aca="false">IFERROR(IF(G12="","","Q"&amp;(ROUNDUP((DATEDIF(DATE(2026,6,1),G12,"m")+1)/3,0))),"")</f>
        <v/>
      </c>
      <c r="AJ12" s="76" t="str">
        <f aca="false">IFERROR(IF(G12="","",TEXT(G12,"mmm-yy")),"")</f>
        <v/>
      </c>
      <c r="AK12" s="17" t="str">
        <f aca="false">IFERROR(IF(K12="","","During "&amp;IF(AJ12="","[reporting period]",AJ12)&amp;", FIVDB distributed "&amp;N12&amp;" units of "&amp;K12&amp;" to "&amp;W12&amp;" recipients"&amp;IF(F12&lt;&gt;""," at "&amp;F12,"")&amp;". "&amp;"Result: [P]% of "&amp;AE12&amp;" target reached."),"")</f>
        <v/>
      </c>
    </row>
    <row r="13" customFormat="false" ht="24" hidden="false" customHeight="true" outlineLevel="0" collapsed="false">
      <c r="B13" s="22" t="n">
        <v>7</v>
      </c>
      <c r="C13" s="22"/>
      <c r="D13" s="16"/>
      <c r="E13" s="16"/>
      <c r="F13" s="16"/>
      <c r="G13" s="75"/>
      <c r="H13" s="16"/>
      <c r="I13" s="16"/>
      <c r="J13" s="16"/>
      <c r="K13" s="16"/>
      <c r="L13" s="22"/>
      <c r="M13" s="49"/>
      <c r="N13" s="49"/>
      <c r="O13" s="49"/>
      <c r="P13" s="49"/>
      <c r="Q13" s="49"/>
      <c r="R13" s="49"/>
      <c r="S13" s="49"/>
      <c r="T13" s="49"/>
      <c r="U13" s="49"/>
      <c r="V13" s="49"/>
      <c r="W13" s="22" t="n">
        <f aca="false">IFERROR(SUM(O13:V13),"")</f>
        <v>0</v>
      </c>
      <c r="X13" s="49"/>
      <c r="Y13" s="22"/>
      <c r="Z13" s="75"/>
      <c r="AA13" s="16"/>
      <c r="AB13" s="22"/>
      <c r="AC13" s="75"/>
      <c r="AD13" s="16"/>
      <c r="AE13" s="22" t="str">
        <f aca="false">IF(C13="","",IFERROR(INDEX('8. Activity Tracker'!L:L,MATCH(C13,'8. Activity Tracker'!D:D,0)),"n/a"))</f>
        <v/>
      </c>
      <c r="AF13" s="22" t="str">
        <f aca="false">IFERROR(IF(OR(W13="",ISTEXT(AE13)),"",W13-AE13),"")</f>
        <v/>
      </c>
      <c r="AG13" s="68" t="str">
        <f aca="false">IFERROR(IF(OR(W13="",ISTEXT(AE13),AE13=0),"",W13/AE13),"")</f>
        <v/>
      </c>
      <c r="AH13" s="16" t="str">
        <f aca="false">IF(C13="","",IFERROR(INDEX('8. Activity Tracker'!J:J,MATCH(C13,'8. Activity Tracker'!D:D,0)),"n/a"))</f>
        <v/>
      </c>
      <c r="AI13" s="22" t="str">
        <f aca="false">IFERROR(IF(G13="","","Q"&amp;(ROUNDUP((DATEDIF(DATE(2026,6,1),G13,"m")+1)/3,0))),"")</f>
        <v/>
      </c>
      <c r="AJ13" s="22" t="str">
        <f aca="false">IFERROR(IF(G13="","",TEXT(G13,"mmm-yy")),"")</f>
        <v/>
      </c>
      <c r="AK13" s="16" t="str">
        <f aca="false">IFERROR(IF(K13="","","During "&amp;IF(AJ13="","[reporting period]",AJ13)&amp;", FIVDB distributed "&amp;N13&amp;" units of "&amp;K13&amp;" to "&amp;W13&amp;" recipients"&amp;IF(F13&lt;&gt;""," at "&amp;F13,"")&amp;". "&amp;"Result: [P]% of "&amp;AE13&amp;" target reached."),"")</f>
        <v/>
      </c>
    </row>
    <row r="14" customFormat="false" ht="24" hidden="false" customHeight="true" outlineLevel="0" collapsed="false">
      <c r="B14" s="76" t="n">
        <v>8</v>
      </c>
      <c r="C14" s="76"/>
      <c r="D14" s="17"/>
      <c r="E14" s="17"/>
      <c r="F14" s="17"/>
      <c r="G14" s="77"/>
      <c r="H14" s="17"/>
      <c r="I14" s="17"/>
      <c r="J14" s="17"/>
      <c r="K14" s="17"/>
      <c r="L14" s="76"/>
      <c r="M14" s="76"/>
      <c r="N14" s="76"/>
      <c r="O14" s="76"/>
      <c r="P14" s="76"/>
      <c r="Q14" s="76"/>
      <c r="R14" s="76"/>
      <c r="S14" s="76"/>
      <c r="T14" s="76"/>
      <c r="U14" s="76"/>
      <c r="V14" s="76"/>
      <c r="W14" s="76" t="n">
        <f aca="false">IFERROR(SUM(O14:V14),"")</f>
        <v>0</v>
      </c>
      <c r="X14" s="76"/>
      <c r="Y14" s="76"/>
      <c r="Z14" s="77"/>
      <c r="AA14" s="17"/>
      <c r="AB14" s="76"/>
      <c r="AC14" s="77"/>
      <c r="AD14" s="17"/>
      <c r="AE14" s="76" t="str">
        <f aca="false">IF(C14="","",IFERROR(INDEX('8. Activity Tracker'!L:L,MATCH(C14,'8. Activity Tracker'!D:D,0)),"n/a"))</f>
        <v/>
      </c>
      <c r="AF14" s="76" t="str">
        <f aca="false">IFERROR(IF(OR(W14="",ISTEXT(AE14)),"",W14-AE14),"")</f>
        <v/>
      </c>
      <c r="AG14" s="78" t="str">
        <f aca="false">IFERROR(IF(OR(W14="",ISTEXT(AE14),AE14=0),"",W14/AE14),"")</f>
        <v/>
      </c>
      <c r="AH14" s="17" t="str">
        <f aca="false">IF(C14="","",IFERROR(INDEX('8. Activity Tracker'!J:J,MATCH(C14,'8. Activity Tracker'!D:D,0)),"n/a"))</f>
        <v/>
      </c>
      <c r="AI14" s="76" t="str">
        <f aca="false">IFERROR(IF(G14="","","Q"&amp;(ROUNDUP((DATEDIF(DATE(2026,6,1),G14,"m")+1)/3,0))),"")</f>
        <v/>
      </c>
      <c r="AJ14" s="76" t="str">
        <f aca="false">IFERROR(IF(G14="","",TEXT(G14,"mmm-yy")),"")</f>
        <v/>
      </c>
      <c r="AK14" s="17" t="str">
        <f aca="false">IFERROR(IF(K14="","","During "&amp;IF(AJ14="","[reporting period]",AJ14)&amp;", FIVDB distributed "&amp;N14&amp;" units of "&amp;K14&amp;" to "&amp;W14&amp;" recipients"&amp;IF(F14&lt;&gt;""," at "&amp;F14,"")&amp;". "&amp;"Result: [P]% of "&amp;AE14&amp;" target reached."),"")</f>
        <v/>
      </c>
    </row>
    <row r="15" customFormat="false" ht="24" hidden="false" customHeight="true" outlineLevel="0" collapsed="false">
      <c r="B15" s="22" t="n">
        <v>9</v>
      </c>
      <c r="C15" s="22"/>
      <c r="D15" s="16"/>
      <c r="E15" s="16"/>
      <c r="F15" s="16"/>
      <c r="G15" s="75"/>
      <c r="H15" s="16"/>
      <c r="I15" s="16"/>
      <c r="J15" s="16"/>
      <c r="K15" s="16"/>
      <c r="L15" s="22"/>
      <c r="M15" s="49"/>
      <c r="N15" s="49"/>
      <c r="O15" s="49"/>
      <c r="P15" s="49"/>
      <c r="Q15" s="49"/>
      <c r="R15" s="49"/>
      <c r="S15" s="49"/>
      <c r="T15" s="49"/>
      <c r="U15" s="49"/>
      <c r="V15" s="49"/>
      <c r="W15" s="22" t="n">
        <f aca="false">IFERROR(SUM(O15:V15),"")</f>
        <v>0</v>
      </c>
      <c r="X15" s="49"/>
      <c r="Y15" s="22"/>
      <c r="Z15" s="75"/>
      <c r="AA15" s="16"/>
      <c r="AB15" s="22"/>
      <c r="AC15" s="75"/>
      <c r="AD15" s="16"/>
      <c r="AE15" s="22" t="str">
        <f aca="false">IF(C15="","",IFERROR(INDEX('8. Activity Tracker'!L:L,MATCH(C15,'8. Activity Tracker'!D:D,0)),"n/a"))</f>
        <v/>
      </c>
      <c r="AF15" s="22" t="str">
        <f aca="false">IFERROR(IF(OR(W15="",ISTEXT(AE15)),"",W15-AE15),"")</f>
        <v/>
      </c>
      <c r="AG15" s="68" t="str">
        <f aca="false">IFERROR(IF(OR(W15="",ISTEXT(AE15),AE15=0),"",W15/AE15),"")</f>
        <v/>
      </c>
      <c r="AH15" s="16" t="str">
        <f aca="false">IF(C15="","",IFERROR(INDEX('8. Activity Tracker'!J:J,MATCH(C15,'8. Activity Tracker'!D:D,0)),"n/a"))</f>
        <v/>
      </c>
      <c r="AI15" s="22" t="str">
        <f aca="false">IFERROR(IF(G15="","","Q"&amp;(ROUNDUP((DATEDIF(DATE(2026,6,1),G15,"m")+1)/3,0))),"")</f>
        <v/>
      </c>
      <c r="AJ15" s="22" t="str">
        <f aca="false">IFERROR(IF(G15="","",TEXT(G15,"mmm-yy")),"")</f>
        <v/>
      </c>
      <c r="AK15" s="16" t="str">
        <f aca="false">IFERROR(IF(K15="","","During "&amp;IF(AJ15="","[reporting period]",AJ15)&amp;", FIVDB distributed "&amp;N15&amp;" units of "&amp;K15&amp;" to "&amp;W15&amp;" recipients"&amp;IF(F15&lt;&gt;""," at "&amp;F15,"")&amp;". "&amp;"Result: [P]% of "&amp;AE15&amp;" target reached."),"")</f>
        <v/>
      </c>
    </row>
    <row r="16" customFormat="false" ht="24" hidden="false" customHeight="true" outlineLevel="0" collapsed="false">
      <c r="B16" s="76" t="n">
        <v>10</v>
      </c>
      <c r="C16" s="76"/>
      <c r="D16" s="17"/>
      <c r="E16" s="17"/>
      <c r="F16" s="17"/>
      <c r="G16" s="77"/>
      <c r="H16" s="17"/>
      <c r="I16" s="17"/>
      <c r="J16" s="17"/>
      <c r="K16" s="17"/>
      <c r="L16" s="76"/>
      <c r="M16" s="76"/>
      <c r="N16" s="76"/>
      <c r="O16" s="76"/>
      <c r="P16" s="76"/>
      <c r="Q16" s="76"/>
      <c r="R16" s="76"/>
      <c r="S16" s="76"/>
      <c r="T16" s="76"/>
      <c r="U16" s="76"/>
      <c r="V16" s="76"/>
      <c r="W16" s="76" t="n">
        <f aca="false">IFERROR(SUM(O16:V16),"")</f>
        <v>0</v>
      </c>
      <c r="X16" s="76"/>
      <c r="Y16" s="76"/>
      <c r="Z16" s="77"/>
      <c r="AA16" s="17"/>
      <c r="AB16" s="76"/>
      <c r="AC16" s="77"/>
      <c r="AD16" s="17"/>
      <c r="AE16" s="76" t="str">
        <f aca="false">IF(C16="","",IFERROR(INDEX('8. Activity Tracker'!L:L,MATCH(C16,'8. Activity Tracker'!D:D,0)),"n/a"))</f>
        <v/>
      </c>
      <c r="AF16" s="76" t="str">
        <f aca="false">IFERROR(IF(OR(W16="",ISTEXT(AE16)),"",W16-AE16),"")</f>
        <v/>
      </c>
      <c r="AG16" s="78" t="str">
        <f aca="false">IFERROR(IF(OR(W16="",ISTEXT(AE16),AE16=0),"",W16/AE16),"")</f>
        <v/>
      </c>
      <c r="AH16" s="17" t="str">
        <f aca="false">IF(C16="","",IFERROR(INDEX('8. Activity Tracker'!J:J,MATCH(C16,'8. Activity Tracker'!D:D,0)),"n/a"))</f>
        <v/>
      </c>
      <c r="AI16" s="76" t="str">
        <f aca="false">IFERROR(IF(G16="","","Q"&amp;(ROUNDUP((DATEDIF(DATE(2026,6,1),G16,"m")+1)/3,0))),"")</f>
        <v/>
      </c>
      <c r="AJ16" s="76" t="str">
        <f aca="false">IFERROR(IF(G16="","",TEXT(G16,"mmm-yy")),"")</f>
        <v/>
      </c>
      <c r="AK16" s="17" t="str">
        <f aca="false">IFERROR(IF(K16="","","During "&amp;IF(AJ16="","[reporting period]",AJ16)&amp;", FIVDB distributed "&amp;N16&amp;" units of "&amp;K16&amp;" to "&amp;W16&amp;" recipients"&amp;IF(F16&lt;&gt;""," at "&amp;F16,"")&amp;". "&amp;"Result: [P]% of "&amp;AE16&amp;" target reached."),"")</f>
        <v/>
      </c>
    </row>
    <row r="17" customFormat="false" ht="24" hidden="false" customHeight="true" outlineLevel="0" collapsed="false">
      <c r="B17" s="22" t="n">
        <v>11</v>
      </c>
      <c r="C17" s="22"/>
      <c r="D17" s="16"/>
      <c r="E17" s="16"/>
      <c r="F17" s="16"/>
      <c r="G17" s="75"/>
      <c r="H17" s="16"/>
      <c r="I17" s="16"/>
      <c r="J17" s="16"/>
      <c r="K17" s="16"/>
      <c r="L17" s="22"/>
      <c r="M17" s="49"/>
      <c r="N17" s="49"/>
      <c r="O17" s="49"/>
      <c r="P17" s="49"/>
      <c r="Q17" s="49"/>
      <c r="R17" s="49"/>
      <c r="S17" s="49"/>
      <c r="T17" s="49"/>
      <c r="U17" s="49"/>
      <c r="V17" s="49"/>
      <c r="W17" s="22" t="n">
        <f aca="false">IFERROR(SUM(O17:V17),"")</f>
        <v>0</v>
      </c>
      <c r="X17" s="49"/>
      <c r="Y17" s="22"/>
      <c r="Z17" s="75"/>
      <c r="AA17" s="16"/>
      <c r="AB17" s="22"/>
      <c r="AC17" s="75"/>
      <c r="AD17" s="16"/>
      <c r="AE17" s="22" t="str">
        <f aca="false">IF(C17="","",IFERROR(INDEX('8. Activity Tracker'!L:L,MATCH(C17,'8. Activity Tracker'!D:D,0)),"n/a"))</f>
        <v/>
      </c>
      <c r="AF17" s="22" t="str">
        <f aca="false">IFERROR(IF(OR(W17="",ISTEXT(AE17)),"",W17-AE17),"")</f>
        <v/>
      </c>
      <c r="AG17" s="68" t="str">
        <f aca="false">IFERROR(IF(OR(W17="",ISTEXT(AE17),AE17=0),"",W17/AE17),"")</f>
        <v/>
      </c>
      <c r="AH17" s="16" t="str">
        <f aca="false">IF(C17="","",IFERROR(INDEX('8. Activity Tracker'!J:J,MATCH(C17,'8. Activity Tracker'!D:D,0)),"n/a"))</f>
        <v/>
      </c>
      <c r="AI17" s="22" t="str">
        <f aca="false">IFERROR(IF(G17="","","Q"&amp;(ROUNDUP((DATEDIF(DATE(2026,6,1),G17,"m")+1)/3,0))),"")</f>
        <v/>
      </c>
      <c r="AJ17" s="22" t="str">
        <f aca="false">IFERROR(IF(G17="","",TEXT(G17,"mmm-yy")),"")</f>
        <v/>
      </c>
      <c r="AK17" s="16" t="str">
        <f aca="false">IFERROR(IF(K17="","","During "&amp;IF(AJ17="","[reporting period]",AJ17)&amp;", FIVDB distributed "&amp;N17&amp;" units of "&amp;K17&amp;" to "&amp;W17&amp;" recipients"&amp;IF(F17&lt;&gt;""," at "&amp;F17,"")&amp;". "&amp;"Result: [P]% of "&amp;AE17&amp;" target reached."),"")</f>
        <v/>
      </c>
    </row>
    <row r="18" customFormat="false" ht="24" hidden="false" customHeight="true" outlineLevel="0" collapsed="false">
      <c r="B18" s="76" t="n">
        <v>12</v>
      </c>
      <c r="C18" s="76"/>
      <c r="D18" s="17"/>
      <c r="E18" s="17"/>
      <c r="F18" s="17"/>
      <c r="G18" s="77"/>
      <c r="H18" s="17"/>
      <c r="I18" s="17"/>
      <c r="J18" s="17"/>
      <c r="K18" s="17"/>
      <c r="L18" s="76"/>
      <c r="M18" s="76"/>
      <c r="N18" s="76"/>
      <c r="O18" s="76"/>
      <c r="P18" s="76"/>
      <c r="Q18" s="76"/>
      <c r="R18" s="76"/>
      <c r="S18" s="76"/>
      <c r="T18" s="76"/>
      <c r="U18" s="76"/>
      <c r="V18" s="76"/>
      <c r="W18" s="76" t="n">
        <f aca="false">IFERROR(SUM(O18:V18),"")</f>
        <v>0</v>
      </c>
      <c r="X18" s="76"/>
      <c r="Y18" s="76"/>
      <c r="Z18" s="77"/>
      <c r="AA18" s="17"/>
      <c r="AB18" s="76"/>
      <c r="AC18" s="77"/>
      <c r="AD18" s="17"/>
      <c r="AE18" s="76" t="str">
        <f aca="false">IF(C18="","",IFERROR(INDEX('8. Activity Tracker'!L:L,MATCH(C18,'8. Activity Tracker'!D:D,0)),"n/a"))</f>
        <v/>
      </c>
      <c r="AF18" s="76" t="str">
        <f aca="false">IFERROR(IF(OR(W18="",ISTEXT(AE18)),"",W18-AE18),"")</f>
        <v/>
      </c>
      <c r="AG18" s="78" t="str">
        <f aca="false">IFERROR(IF(OR(W18="",ISTEXT(AE18),AE18=0),"",W18/AE18),"")</f>
        <v/>
      </c>
      <c r="AH18" s="17" t="str">
        <f aca="false">IF(C18="","",IFERROR(INDEX('8. Activity Tracker'!J:J,MATCH(C18,'8. Activity Tracker'!D:D,0)),"n/a"))</f>
        <v/>
      </c>
      <c r="AI18" s="76" t="str">
        <f aca="false">IFERROR(IF(G18="","","Q"&amp;(ROUNDUP((DATEDIF(DATE(2026,6,1),G18,"m")+1)/3,0))),"")</f>
        <v/>
      </c>
      <c r="AJ18" s="76" t="str">
        <f aca="false">IFERROR(IF(G18="","",TEXT(G18,"mmm-yy")),"")</f>
        <v/>
      </c>
      <c r="AK18" s="17" t="str">
        <f aca="false">IFERROR(IF(K18="","","During "&amp;IF(AJ18="","[reporting period]",AJ18)&amp;", FIVDB distributed "&amp;N18&amp;" units of "&amp;K18&amp;" to "&amp;W18&amp;" recipients"&amp;IF(F18&lt;&gt;""," at "&amp;F18,"")&amp;". "&amp;"Result: [P]% of "&amp;AE18&amp;" target reached."),"")</f>
        <v/>
      </c>
    </row>
    <row r="19" customFormat="false" ht="24" hidden="false" customHeight="true" outlineLevel="0" collapsed="false">
      <c r="B19" s="22" t="n">
        <v>13</v>
      </c>
      <c r="C19" s="22"/>
      <c r="D19" s="16"/>
      <c r="E19" s="16"/>
      <c r="F19" s="16"/>
      <c r="G19" s="75"/>
      <c r="H19" s="16"/>
      <c r="I19" s="16"/>
      <c r="J19" s="16"/>
      <c r="K19" s="16"/>
      <c r="L19" s="22"/>
      <c r="M19" s="49"/>
      <c r="N19" s="49"/>
      <c r="O19" s="49"/>
      <c r="P19" s="49"/>
      <c r="Q19" s="49"/>
      <c r="R19" s="49"/>
      <c r="S19" s="49"/>
      <c r="T19" s="49"/>
      <c r="U19" s="49"/>
      <c r="V19" s="49"/>
      <c r="W19" s="22" t="n">
        <f aca="false">IFERROR(SUM(O19:V19),"")</f>
        <v>0</v>
      </c>
      <c r="X19" s="49"/>
      <c r="Y19" s="22"/>
      <c r="Z19" s="75"/>
      <c r="AA19" s="16"/>
      <c r="AB19" s="22"/>
      <c r="AC19" s="75"/>
      <c r="AD19" s="16"/>
      <c r="AE19" s="22" t="str">
        <f aca="false">IF(C19="","",IFERROR(INDEX('8. Activity Tracker'!L:L,MATCH(C19,'8. Activity Tracker'!D:D,0)),"n/a"))</f>
        <v/>
      </c>
      <c r="AF19" s="22" t="str">
        <f aca="false">IFERROR(IF(OR(W19="",ISTEXT(AE19)),"",W19-AE19),"")</f>
        <v/>
      </c>
      <c r="AG19" s="68" t="str">
        <f aca="false">IFERROR(IF(OR(W19="",ISTEXT(AE19),AE19=0),"",W19/AE19),"")</f>
        <v/>
      </c>
      <c r="AH19" s="16" t="str">
        <f aca="false">IF(C19="","",IFERROR(INDEX('8. Activity Tracker'!J:J,MATCH(C19,'8. Activity Tracker'!D:D,0)),"n/a"))</f>
        <v/>
      </c>
      <c r="AI19" s="22" t="str">
        <f aca="false">IFERROR(IF(G19="","","Q"&amp;(ROUNDUP((DATEDIF(DATE(2026,6,1),G19,"m")+1)/3,0))),"")</f>
        <v/>
      </c>
      <c r="AJ19" s="22" t="str">
        <f aca="false">IFERROR(IF(G19="","",TEXT(G19,"mmm-yy")),"")</f>
        <v/>
      </c>
      <c r="AK19" s="16" t="str">
        <f aca="false">IFERROR(IF(K19="","","During "&amp;IF(AJ19="","[reporting period]",AJ19)&amp;", FIVDB distributed "&amp;N19&amp;" units of "&amp;K19&amp;" to "&amp;W19&amp;" recipients"&amp;IF(F19&lt;&gt;""," at "&amp;F19,"")&amp;". "&amp;"Result: [P]% of "&amp;AE19&amp;" target reached."),"")</f>
        <v/>
      </c>
    </row>
    <row r="20" customFormat="false" ht="24" hidden="false" customHeight="true" outlineLevel="0" collapsed="false">
      <c r="B20" s="76" t="n">
        <v>14</v>
      </c>
      <c r="C20" s="76"/>
      <c r="D20" s="17"/>
      <c r="E20" s="17"/>
      <c r="F20" s="17"/>
      <c r="G20" s="77"/>
      <c r="H20" s="17"/>
      <c r="I20" s="17"/>
      <c r="J20" s="17"/>
      <c r="K20" s="17"/>
      <c r="L20" s="76"/>
      <c r="M20" s="76"/>
      <c r="N20" s="76"/>
      <c r="O20" s="76"/>
      <c r="P20" s="76"/>
      <c r="Q20" s="76"/>
      <c r="R20" s="76"/>
      <c r="S20" s="76"/>
      <c r="T20" s="76"/>
      <c r="U20" s="76"/>
      <c r="V20" s="76"/>
      <c r="W20" s="76" t="n">
        <f aca="false">IFERROR(SUM(O20:V20),"")</f>
        <v>0</v>
      </c>
      <c r="X20" s="76"/>
      <c r="Y20" s="76"/>
      <c r="Z20" s="77"/>
      <c r="AA20" s="17"/>
      <c r="AB20" s="76"/>
      <c r="AC20" s="77"/>
      <c r="AD20" s="17"/>
      <c r="AE20" s="76" t="str">
        <f aca="false">IF(C20="","",IFERROR(INDEX('8. Activity Tracker'!L:L,MATCH(C20,'8. Activity Tracker'!D:D,0)),"n/a"))</f>
        <v/>
      </c>
      <c r="AF20" s="76" t="str">
        <f aca="false">IFERROR(IF(OR(W20="",ISTEXT(AE20)),"",W20-AE20),"")</f>
        <v/>
      </c>
      <c r="AG20" s="78" t="str">
        <f aca="false">IFERROR(IF(OR(W20="",ISTEXT(AE20),AE20=0),"",W20/AE20),"")</f>
        <v/>
      </c>
      <c r="AH20" s="17" t="str">
        <f aca="false">IF(C20="","",IFERROR(INDEX('8. Activity Tracker'!J:J,MATCH(C20,'8. Activity Tracker'!D:D,0)),"n/a"))</f>
        <v/>
      </c>
      <c r="AI20" s="76" t="str">
        <f aca="false">IFERROR(IF(G20="","","Q"&amp;(ROUNDUP((DATEDIF(DATE(2026,6,1),G20,"m")+1)/3,0))),"")</f>
        <v/>
      </c>
      <c r="AJ20" s="76" t="str">
        <f aca="false">IFERROR(IF(G20="","",TEXT(G20,"mmm-yy")),"")</f>
        <v/>
      </c>
      <c r="AK20" s="17" t="str">
        <f aca="false">IFERROR(IF(K20="","","During "&amp;IF(AJ20="","[reporting period]",AJ20)&amp;", FIVDB distributed "&amp;N20&amp;" units of "&amp;K20&amp;" to "&amp;W20&amp;" recipients"&amp;IF(F20&lt;&gt;""," at "&amp;F20,"")&amp;". "&amp;"Result: [P]% of "&amp;AE20&amp;" target reached."),"")</f>
        <v/>
      </c>
    </row>
    <row r="21" customFormat="false" ht="24" hidden="false" customHeight="true" outlineLevel="0" collapsed="false">
      <c r="B21" s="22" t="n">
        <v>15</v>
      </c>
      <c r="C21" s="22"/>
      <c r="D21" s="16"/>
      <c r="E21" s="16"/>
      <c r="F21" s="16"/>
      <c r="G21" s="75"/>
      <c r="H21" s="16"/>
      <c r="I21" s="16"/>
      <c r="J21" s="16"/>
      <c r="K21" s="16"/>
      <c r="L21" s="22"/>
      <c r="M21" s="49"/>
      <c r="N21" s="49"/>
      <c r="O21" s="49"/>
      <c r="P21" s="49"/>
      <c r="Q21" s="49"/>
      <c r="R21" s="49"/>
      <c r="S21" s="49"/>
      <c r="T21" s="49"/>
      <c r="U21" s="49"/>
      <c r="V21" s="49"/>
      <c r="W21" s="22" t="n">
        <f aca="false">IFERROR(SUM(O21:V21),"")</f>
        <v>0</v>
      </c>
      <c r="X21" s="49"/>
      <c r="Y21" s="22"/>
      <c r="Z21" s="75"/>
      <c r="AA21" s="16"/>
      <c r="AB21" s="22"/>
      <c r="AC21" s="75"/>
      <c r="AD21" s="16"/>
      <c r="AE21" s="22" t="str">
        <f aca="false">IF(C21="","",IFERROR(INDEX('8. Activity Tracker'!L:L,MATCH(C21,'8. Activity Tracker'!D:D,0)),"n/a"))</f>
        <v/>
      </c>
      <c r="AF21" s="22" t="str">
        <f aca="false">IFERROR(IF(OR(W21="",ISTEXT(AE21)),"",W21-AE21),"")</f>
        <v/>
      </c>
      <c r="AG21" s="68" t="str">
        <f aca="false">IFERROR(IF(OR(W21="",ISTEXT(AE21),AE21=0),"",W21/AE21),"")</f>
        <v/>
      </c>
      <c r="AH21" s="16" t="str">
        <f aca="false">IF(C21="","",IFERROR(INDEX('8. Activity Tracker'!J:J,MATCH(C21,'8. Activity Tracker'!D:D,0)),"n/a"))</f>
        <v/>
      </c>
      <c r="AI21" s="22" t="str">
        <f aca="false">IFERROR(IF(G21="","","Q"&amp;(ROUNDUP((DATEDIF(DATE(2026,6,1),G21,"m")+1)/3,0))),"")</f>
        <v/>
      </c>
      <c r="AJ21" s="22" t="str">
        <f aca="false">IFERROR(IF(G21="","",TEXT(G21,"mmm-yy")),"")</f>
        <v/>
      </c>
      <c r="AK21" s="16" t="str">
        <f aca="false">IFERROR(IF(K21="","","During "&amp;IF(AJ21="","[reporting period]",AJ21)&amp;", FIVDB distributed "&amp;N21&amp;" units of "&amp;K21&amp;" to "&amp;W21&amp;" recipients"&amp;IF(F21&lt;&gt;""," at "&amp;F21,"")&amp;". "&amp;"Result: [P]% of "&amp;AE21&amp;" target reached."),"")</f>
        <v/>
      </c>
    </row>
    <row r="22" customFormat="false" ht="24" hidden="false" customHeight="true" outlineLevel="0" collapsed="false">
      <c r="B22" s="76" t="n">
        <v>16</v>
      </c>
      <c r="C22" s="76"/>
      <c r="D22" s="17"/>
      <c r="E22" s="17"/>
      <c r="F22" s="17"/>
      <c r="G22" s="77"/>
      <c r="H22" s="17"/>
      <c r="I22" s="17"/>
      <c r="J22" s="17"/>
      <c r="K22" s="17"/>
      <c r="L22" s="76"/>
      <c r="M22" s="76"/>
      <c r="N22" s="76"/>
      <c r="O22" s="76"/>
      <c r="P22" s="76"/>
      <c r="Q22" s="76"/>
      <c r="R22" s="76"/>
      <c r="S22" s="76"/>
      <c r="T22" s="76"/>
      <c r="U22" s="76"/>
      <c r="V22" s="76"/>
      <c r="W22" s="76" t="n">
        <f aca="false">IFERROR(SUM(O22:V22),"")</f>
        <v>0</v>
      </c>
      <c r="X22" s="76"/>
      <c r="Y22" s="76"/>
      <c r="Z22" s="77"/>
      <c r="AA22" s="17"/>
      <c r="AB22" s="76"/>
      <c r="AC22" s="77"/>
      <c r="AD22" s="17"/>
      <c r="AE22" s="76" t="str">
        <f aca="false">IF(C22="","",IFERROR(INDEX('8. Activity Tracker'!L:L,MATCH(C22,'8. Activity Tracker'!D:D,0)),"n/a"))</f>
        <v/>
      </c>
      <c r="AF22" s="76" t="str">
        <f aca="false">IFERROR(IF(OR(W22="",ISTEXT(AE22)),"",W22-AE22),"")</f>
        <v/>
      </c>
      <c r="AG22" s="78" t="str">
        <f aca="false">IFERROR(IF(OR(W22="",ISTEXT(AE22),AE22=0),"",W22/AE22),"")</f>
        <v/>
      </c>
      <c r="AH22" s="17" t="str">
        <f aca="false">IF(C22="","",IFERROR(INDEX('8. Activity Tracker'!J:J,MATCH(C22,'8. Activity Tracker'!D:D,0)),"n/a"))</f>
        <v/>
      </c>
      <c r="AI22" s="76" t="str">
        <f aca="false">IFERROR(IF(G22="","","Q"&amp;(ROUNDUP((DATEDIF(DATE(2026,6,1),G22,"m")+1)/3,0))),"")</f>
        <v/>
      </c>
      <c r="AJ22" s="76" t="str">
        <f aca="false">IFERROR(IF(G22="","",TEXT(G22,"mmm-yy")),"")</f>
        <v/>
      </c>
      <c r="AK22" s="17" t="str">
        <f aca="false">IFERROR(IF(K22="","","During "&amp;IF(AJ22="","[reporting period]",AJ22)&amp;", FIVDB distributed "&amp;N22&amp;" units of "&amp;K22&amp;" to "&amp;W22&amp;" recipients"&amp;IF(F22&lt;&gt;""," at "&amp;F22,"")&amp;". "&amp;"Result: [P]% of "&amp;AE22&amp;" target reached."),"")</f>
        <v/>
      </c>
    </row>
    <row r="23" customFormat="false" ht="24" hidden="false" customHeight="true" outlineLevel="0" collapsed="false">
      <c r="B23" s="22" t="n">
        <v>17</v>
      </c>
      <c r="C23" s="22"/>
      <c r="D23" s="16"/>
      <c r="E23" s="16"/>
      <c r="F23" s="16"/>
      <c r="G23" s="75"/>
      <c r="H23" s="16"/>
      <c r="I23" s="16"/>
      <c r="J23" s="16"/>
      <c r="K23" s="16"/>
      <c r="L23" s="22"/>
      <c r="M23" s="49"/>
      <c r="N23" s="49"/>
      <c r="O23" s="49"/>
      <c r="P23" s="49"/>
      <c r="Q23" s="49"/>
      <c r="R23" s="49"/>
      <c r="S23" s="49"/>
      <c r="T23" s="49"/>
      <c r="U23" s="49"/>
      <c r="V23" s="49"/>
      <c r="W23" s="22" t="n">
        <f aca="false">IFERROR(SUM(O23:V23),"")</f>
        <v>0</v>
      </c>
      <c r="X23" s="49"/>
      <c r="Y23" s="22"/>
      <c r="Z23" s="75"/>
      <c r="AA23" s="16"/>
      <c r="AB23" s="22"/>
      <c r="AC23" s="75"/>
      <c r="AD23" s="16"/>
      <c r="AE23" s="22" t="str">
        <f aca="false">IF(C23="","",IFERROR(INDEX('8. Activity Tracker'!L:L,MATCH(C23,'8. Activity Tracker'!D:D,0)),"n/a"))</f>
        <v/>
      </c>
      <c r="AF23" s="22" t="str">
        <f aca="false">IFERROR(IF(OR(W23="",ISTEXT(AE23)),"",W23-AE23),"")</f>
        <v/>
      </c>
      <c r="AG23" s="68" t="str">
        <f aca="false">IFERROR(IF(OR(W23="",ISTEXT(AE23),AE23=0),"",W23/AE23),"")</f>
        <v/>
      </c>
      <c r="AH23" s="16" t="str">
        <f aca="false">IF(C23="","",IFERROR(INDEX('8. Activity Tracker'!J:J,MATCH(C23,'8. Activity Tracker'!D:D,0)),"n/a"))</f>
        <v/>
      </c>
      <c r="AI23" s="22" t="str">
        <f aca="false">IFERROR(IF(G23="","","Q"&amp;(ROUNDUP((DATEDIF(DATE(2026,6,1),G23,"m")+1)/3,0))),"")</f>
        <v/>
      </c>
      <c r="AJ23" s="22" t="str">
        <f aca="false">IFERROR(IF(G23="","",TEXT(G23,"mmm-yy")),"")</f>
        <v/>
      </c>
      <c r="AK23" s="16" t="str">
        <f aca="false">IFERROR(IF(K23="","","During "&amp;IF(AJ23="","[reporting period]",AJ23)&amp;", FIVDB distributed "&amp;N23&amp;" units of "&amp;K23&amp;" to "&amp;W23&amp;" recipients"&amp;IF(F23&lt;&gt;""," at "&amp;F23,"")&amp;". "&amp;"Result: [P]% of "&amp;AE23&amp;" target reached."),"")</f>
        <v/>
      </c>
    </row>
    <row r="24" customFormat="false" ht="24" hidden="false" customHeight="true" outlineLevel="0" collapsed="false">
      <c r="B24" s="76" t="n">
        <v>18</v>
      </c>
      <c r="C24" s="76"/>
      <c r="D24" s="17"/>
      <c r="E24" s="17"/>
      <c r="F24" s="17"/>
      <c r="G24" s="77"/>
      <c r="H24" s="17"/>
      <c r="I24" s="17"/>
      <c r="J24" s="17"/>
      <c r="K24" s="17"/>
      <c r="L24" s="76"/>
      <c r="M24" s="76"/>
      <c r="N24" s="76"/>
      <c r="O24" s="76"/>
      <c r="P24" s="76"/>
      <c r="Q24" s="76"/>
      <c r="R24" s="76"/>
      <c r="S24" s="76"/>
      <c r="T24" s="76"/>
      <c r="U24" s="76"/>
      <c r="V24" s="76"/>
      <c r="W24" s="76" t="n">
        <f aca="false">IFERROR(SUM(O24:V24),"")</f>
        <v>0</v>
      </c>
      <c r="X24" s="76"/>
      <c r="Y24" s="76"/>
      <c r="Z24" s="77"/>
      <c r="AA24" s="17"/>
      <c r="AB24" s="76"/>
      <c r="AC24" s="77"/>
      <c r="AD24" s="17"/>
      <c r="AE24" s="76" t="str">
        <f aca="false">IF(C24="","",IFERROR(INDEX('8. Activity Tracker'!L:L,MATCH(C24,'8. Activity Tracker'!D:D,0)),"n/a"))</f>
        <v/>
      </c>
      <c r="AF24" s="76" t="str">
        <f aca="false">IFERROR(IF(OR(W24="",ISTEXT(AE24)),"",W24-AE24),"")</f>
        <v/>
      </c>
      <c r="AG24" s="78" t="str">
        <f aca="false">IFERROR(IF(OR(W24="",ISTEXT(AE24),AE24=0),"",W24/AE24),"")</f>
        <v/>
      </c>
      <c r="AH24" s="17" t="str">
        <f aca="false">IF(C24="","",IFERROR(INDEX('8. Activity Tracker'!J:J,MATCH(C24,'8. Activity Tracker'!D:D,0)),"n/a"))</f>
        <v/>
      </c>
      <c r="AI24" s="76" t="str">
        <f aca="false">IFERROR(IF(G24="","","Q"&amp;(ROUNDUP((DATEDIF(DATE(2026,6,1),G24,"m")+1)/3,0))),"")</f>
        <v/>
      </c>
      <c r="AJ24" s="76" t="str">
        <f aca="false">IFERROR(IF(G24="","",TEXT(G24,"mmm-yy")),"")</f>
        <v/>
      </c>
      <c r="AK24" s="17" t="str">
        <f aca="false">IFERROR(IF(K24="","","During "&amp;IF(AJ24="","[reporting period]",AJ24)&amp;", FIVDB distributed "&amp;N24&amp;" units of "&amp;K24&amp;" to "&amp;W24&amp;" recipients"&amp;IF(F24&lt;&gt;""," at "&amp;F24,"")&amp;". "&amp;"Result: [P]% of "&amp;AE24&amp;" target reached."),"")</f>
        <v/>
      </c>
    </row>
    <row r="25" customFormat="false" ht="24" hidden="false" customHeight="true" outlineLevel="0" collapsed="false">
      <c r="B25" s="22" t="n">
        <v>19</v>
      </c>
      <c r="C25" s="22"/>
      <c r="D25" s="16"/>
      <c r="E25" s="16"/>
      <c r="F25" s="16"/>
      <c r="G25" s="75"/>
      <c r="H25" s="16"/>
      <c r="I25" s="16"/>
      <c r="J25" s="16"/>
      <c r="K25" s="16"/>
      <c r="L25" s="22"/>
      <c r="M25" s="49"/>
      <c r="N25" s="49"/>
      <c r="O25" s="49"/>
      <c r="P25" s="49"/>
      <c r="Q25" s="49"/>
      <c r="R25" s="49"/>
      <c r="S25" s="49"/>
      <c r="T25" s="49"/>
      <c r="U25" s="49"/>
      <c r="V25" s="49"/>
      <c r="W25" s="22" t="n">
        <f aca="false">IFERROR(SUM(O25:V25),"")</f>
        <v>0</v>
      </c>
      <c r="X25" s="49"/>
      <c r="Y25" s="22"/>
      <c r="Z25" s="75"/>
      <c r="AA25" s="16"/>
      <c r="AB25" s="22"/>
      <c r="AC25" s="75"/>
      <c r="AD25" s="16"/>
      <c r="AE25" s="22" t="str">
        <f aca="false">IF(C25="","",IFERROR(INDEX('8. Activity Tracker'!L:L,MATCH(C25,'8. Activity Tracker'!D:D,0)),"n/a"))</f>
        <v/>
      </c>
      <c r="AF25" s="22" t="str">
        <f aca="false">IFERROR(IF(OR(W25="",ISTEXT(AE25)),"",W25-AE25),"")</f>
        <v/>
      </c>
      <c r="AG25" s="68" t="str">
        <f aca="false">IFERROR(IF(OR(W25="",ISTEXT(AE25),AE25=0),"",W25/AE25),"")</f>
        <v/>
      </c>
      <c r="AH25" s="16" t="str">
        <f aca="false">IF(C25="","",IFERROR(INDEX('8. Activity Tracker'!J:J,MATCH(C25,'8. Activity Tracker'!D:D,0)),"n/a"))</f>
        <v/>
      </c>
      <c r="AI25" s="22" t="str">
        <f aca="false">IFERROR(IF(G25="","","Q"&amp;(ROUNDUP((DATEDIF(DATE(2026,6,1),G25,"m")+1)/3,0))),"")</f>
        <v/>
      </c>
      <c r="AJ25" s="22" t="str">
        <f aca="false">IFERROR(IF(G25="","",TEXT(G25,"mmm-yy")),"")</f>
        <v/>
      </c>
      <c r="AK25" s="16" t="str">
        <f aca="false">IFERROR(IF(K25="","","During "&amp;IF(AJ25="","[reporting period]",AJ25)&amp;", FIVDB distributed "&amp;N25&amp;" units of "&amp;K25&amp;" to "&amp;W25&amp;" recipients"&amp;IF(F25&lt;&gt;""," at "&amp;F25,"")&amp;". "&amp;"Result: [P]% of "&amp;AE25&amp;" target reached."),"")</f>
        <v/>
      </c>
    </row>
    <row r="26" customFormat="false" ht="24" hidden="false" customHeight="true" outlineLevel="0" collapsed="false">
      <c r="B26" s="76" t="n">
        <v>20</v>
      </c>
      <c r="C26" s="76"/>
      <c r="D26" s="17"/>
      <c r="E26" s="17"/>
      <c r="F26" s="17"/>
      <c r="G26" s="77"/>
      <c r="H26" s="17"/>
      <c r="I26" s="17"/>
      <c r="J26" s="17"/>
      <c r="K26" s="17"/>
      <c r="L26" s="76"/>
      <c r="M26" s="76"/>
      <c r="N26" s="76"/>
      <c r="O26" s="76"/>
      <c r="P26" s="76"/>
      <c r="Q26" s="76"/>
      <c r="R26" s="76"/>
      <c r="S26" s="76"/>
      <c r="T26" s="76"/>
      <c r="U26" s="76"/>
      <c r="V26" s="76"/>
      <c r="W26" s="76" t="n">
        <f aca="false">IFERROR(SUM(O26:V26),"")</f>
        <v>0</v>
      </c>
      <c r="X26" s="76"/>
      <c r="Y26" s="76"/>
      <c r="Z26" s="77"/>
      <c r="AA26" s="17"/>
      <c r="AB26" s="76"/>
      <c r="AC26" s="77"/>
      <c r="AD26" s="17"/>
      <c r="AE26" s="76" t="str">
        <f aca="false">IF(C26="","",IFERROR(INDEX('8. Activity Tracker'!L:L,MATCH(C26,'8. Activity Tracker'!D:D,0)),"n/a"))</f>
        <v/>
      </c>
      <c r="AF26" s="76" t="str">
        <f aca="false">IFERROR(IF(OR(W26="",ISTEXT(AE26)),"",W26-AE26),"")</f>
        <v/>
      </c>
      <c r="AG26" s="78" t="str">
        <f aca="false">IFERROR(IF(OR(W26="",ISTEXT(AE26),AE26=0),"",W26/AE26),"")</f>
        <v/>
      </c>
      <c r="AH26" s="17" t="str">
        <f aca="false">IF(C26="","",IFERROR(INDEX('8. Activity Tracker'!J:J,MATCH(C26,'8. Activity Tracker'!D:D,0)),"n/a"))</f>
        <v/>
      </c>
      <c r="AI26" s="76" t="str">
        <f aca="false">IFERROR(IF(G26="","","Q"&amp;(ROUNDUP((DATEDIF(DATE(2026,6,1),G26,"m")+1)/3,0))),"")</f>
        <v/>
      </c>
      <c r="AJ26" s="76" t="str">
        <f aca="false">IFERROR(IF(G26="","",TEXT(G26,"mmm-yy")),"")</f>
        <v/>
      </c>
      <c r="AK26" s="17" t="str">
        <f aca="false">IFERROR(IF(K26="","","During "&amp;IF(AJ26="","[reporting period]",AJ26)&amp;", FIVDB distributed "&amp;N26&amp;" units of "&amp;K26&amp;" to "&amp;W26&amp;" recipients"&amp;IF(F26&lt;&gt;""," at "&amp;F26,"")&amp;". "&amp;"Result: [P]% of "&amp;AE26&amp;" target reached."),"")</f>
        <v/>
      </c>
    </row>
    <row r="27" customFormat="false" ht="24" hidden="false" customHeight="true" outlineLevel="0" collapsed="false">
      <c r="B27" s="22" t="n">
        <v>21</v>
      </c>
      <c r="C27" s="22"/>
      <c r="D27" s="16"/>
      <c r="E27" s="16"/>
      <c r="F27" s="16"/>
      <c r="G27" s="75"/>
      <c r="H27" s="16"/>
      <c r="I27" s="16"/>
      <c r="J27" s="16"/>
      <c r="K27" s="16"/>
      <c r="L27" s="22"/>
      <c r="M27" s="49"/>
      <c r="N27" s="49"/>
      <c r="O27" s="49"/>
      <c r="P27" s="49"/>
      <c r="Q27" s="49"/>
      <c r="R27" s="49"/>
      <c r="S27" s="49"/>
      <c r="T27" s="49"/>
      <c r="U27" s="49"/>
      <c r="V27" s="49"/>
      <c r="W27" s="22" t="n">
        <f aca="false">IFERROR(SUM(O27:V27),"")</f>
        <v>0</v>
      </c>
      <c r="X27" s="49"/>
      <c r="Y27" s="22"/>
      <c r="Z27" s="75"/>
      <c r="AA27" s="16"/>
      <c r="AB27" s="22"/>
      <c r="AC27" s="75"/>
      <c r="AD27" s="16"/>
      <c r="AE27" s="22" t="str">
        <f aca="false">IF(C27="","",IFERROR(INDEX('8. Activity Tracker'!L:L,MATCH(C27,'8. Activity Tracker'!D:D,0)),"n/a"))</f>
        <v/>
      </c>
      <c r="AF27" s="22" t="str">
        <f aca="false">IFERROR(IF(OR(W27="",ISTEXT(AE27)),"",W27-AE27),"")</f>
        <v/>
      </c>
      <c r="AG27" s="68" t="str">
        <f aca="false">IFERROR(IF(OR(W27="",ISTEXT(AE27),AE27=0),"",W27/AE27),"")</f>
        <v/>
      </c>
      <c r="AH27" s="16" t="str">
        <f aca="false">IF(C27="","",IFERROR(INDEX('8. Activity Tracker'!J:J,MATCH(C27,'8. Activity Tracker'!D:D,0)),"n/a"))</f>
        <v/>
      </c>
      <c r="AI27" s="22" t="str">
        <f aca="false">IFERROR(IF(G27="","","Q"&amp;(ROUNDUP((DATEDIF(DATE(2026,6,1),G27,"m")+1)/3,0))),"")</f>
        <v/>
      </c>
      <c r="AJ27" s="22" t="str">
        <f aca="false">IFERROR(IF(G27="","",TEXT(G27,"mmm-yy")),"")</f>
        <v/>
      </c>
      <c r="AK27" s="16" t="str">
        <f aca="false">IFERROR(IF(K27="","","During "&amp;IF(AJ27="","[reporting period]",AJ27)&amp;", FIVDB distributed "&amp;N27&amp;" units of "&amp;K27&amp;" to "&amp;W27&amp;" recipients"&amp;IF(F27&lt;&gt;""," at "&amp;F27,"")&amp;". "&amp;"Result: [P]% of "&amp;AE27&amp;" target reached."),"")</f>
        <v/>
      </c>
    </row>
    <row r="28" customFormat="false" ht="24" hidden="false" customHeight="true" outlineLevel="0" collapsed="false">
      <c r="B28" s="76" t="n">
        <v>22</v>
      </c>
      <c r="C28" s="76"/>
      <c r="D28" s="17"/>
      <c r="E28" s="17"/>
      <c r="F28" s="17"/>
      <c r="G28" s="77"/>
      <c r="H28" s="17"/>
      <c r="I28" s="17"/>
      <c r="J28" s="17"/>
      <c r="K28" s="17"/>
      <c r="L28" s="76"/>
      <c r="M28" s="76"/>
      <c r="N28" s="76"/>
      <c r="O28" s="76"/>
      <c r="P28" s="76"/>
      <c r="Q28" s="76"/>
      <c r="R28" s="76"/>
      <c r="S28" s="76"/>
      <c r="T28" s="76"/>
      <c r="U28" s="76"/>
      <c r="V28" s="76"/>
      <c r="W28" s="76" t="n">
        <f aca="false">IFERROR(SUM(O28:V28),"")</f>
        <v>0</v>
      </c>
      <c r="X28" s="76"/>
      <c r="Y28" s="76"/>
      <c r="Z28" s="77"/>
      <c r="AA28" s="17"/>
      <c r="AB28" s="76"/>
      <c r="AC28" s="77"/>
      <c r="AD28" s="17"/>
      <c r="AE28" s="76" t="str">
        <f aca="false">IF(C28="","",IFERROR(INDEX('8. Activity Tracker'!L:L,MATCH(C28,'8. Activity Tracker'!D:D,0)),"n/a"))</f>
        <v/>
      </c>
      <c r="AF28" s="76" t="str">
        <f aca="false">IFERROR(IF(OR(W28="",ISTEXT(AE28)),"",W28-AE28),"")</f>
        <v/>
      </c>
      <c r="AG28" s="78" t="str">
        <f aca="false">IFERROR(IF(OR(W28="",ISTEXT(AE28),AE28=0),"",W28/AE28),"")</f>
        <v/>
      </c>
      <c r="AH28" s="17" t="str">
        <f aca="false">IF(C28="","",IFERROR(INDEX('8. Activity Tracker'!J:J,MATCH(C28,'8. Activity Tracker'!D:D,0)),"n/a"))</f>
        <v/>
      </c>
      <c r="AI28" s="76" t="str">
        <f aca="false">IFERROR(IF(G28="","","Q"&amp;(ROUNDUP((DATEDIF(DATE(2026,6,1),G28,"m")+1)/3,0))),"")</f>
        <v/>
      </c>
      <c r="AJ28" s="76" t="str">
        <f aca="false">IFERROR(IF(G28="","",TEXT(G28,"mmm-yy")),"")</f>
        <v/>
      </c>
      <c r="AK28" s="17" t="str">
        <f aca="false">IFERROR(IF(K28="","","During "&amp;IF(AJ28="","[reporting period]",AJ28)&amp;", FIVDB distributed "&amp;N28&amp;" units of "&amp;K28&amp;" to "&amp;W28&amp;" recipients"&amp;IF(F28&lt;&gt;""," at "&amp;F28,"")&amp;". "&amp;"Result: [P]% of "&amp;AE28&amp;" target reached."),"")</f>
        <v/>
      </c>
    </row>
    <row r="29" customFormat="false" ht="24" hidden="false" customHeight="true" outlineLevel="0" collapsed="false">
      <c r="B29" s="22" t="n">
        <v>23</v>
      </c>
      <c r="C29" s="22"/>
      <c r="D29" s="16"/>
      <c r="E29" s="16"/>
      <c r="F29" s="16"/>
      <c r="G29" s="75"/>
      <c r="H29" s="16"/>
      <c r="I29" s="16"/>
      <c r="J29" s="16"/>
      <c r="K29" s="16"/>
      <c r="L29" s="22"/>
      <c r="M29" s="49"/>
      <c r="N29" s="49"/>
      <c r="O29" s="49"/>
      <c r="P29" s="49"/>
      <c r="Q29" s="49"/>
      <c r="R29" s="49"/>
      <c r="S29" s="49"/>
      <c r="T29" s="49"/>
      <c r="U29" s="49"/>
      <c r="V29" s="49"/>
      <c r="W29" s="22" t="n">
        <f aca="false">IFERROR(SUM(O29:V29),"")</f>
        <v>0</v>
      </c>
      <c r="X29" s="49"/>
      <c r="Y29" s="22"/>
      <c r="Z29" s="75"/>
      <c r="AA29" s="16"/>
      <c r="AB29" s="22"/>
      <c r="AC29" s="75"/>
      <c r="AD29" s="16"/>
      <c r="AE29" s="22" t="str">
        <f aca="false">IF(C29="","",IFERROR(INDEX('8. Activity Tracker'!L:L,MATCH(C29,'8. Activity Tracker'!D:D,0)),"n/a"))</f>
        <v/>
      </c>
      <c r="AF29" s="22" t="str">
        <f aca="false">IFERROR(IF(OR(W29="",ISTEXT(AE29)),"",W29-AE29),"")</f>
        <v/>
      </c>
      <c r="AG29" s="68" t="str">
        <f aca="false">IFERROR(IF(OR(W29="",ISTEXT(AE29),AE29=0),"",W29/AE29),"")</f>
        <v/>
      </c>
      <c r="AH29" s="16" t="str">
        <f aca="false">IF(C29="","",IFERROR(INDEX('8. Activity Tracker'!J:J,MATCH(C29,'8. Activity Tracker'!D:D,0)),"n/a"))</f>
        <v/>
      </c>
      <c r="AI29" s="22" t="str">
        <f aca="false">IFERROR(IF(G29="","","Q"&amp;(ROUNDUP((DATEDIF(DATE(2026,6,1),G29,"m")+1)/3,0))),"")</f>
        <v/>
      </c>
      <c r="AJ29" s="22" t="str">
        <f aca="false">IFERROR(IF(G29="","",TEXT(G29,"mmm-yy")),"")</f>
        <v/>
      </c>
      <c r="AK29" s="16" t="str">
        <f aca="false">IFERROR(IF(K29="","","During "&amp;IF(AJ29="","[reporting period]",AJ29)&amp;", FIVDB distributed "&amp;N29&amp;" units of "&amp;K29&amp;" to "&amp;W29&amp;" recipients"&amp;IF(F29&lt;&gt;""," at "&amp;F29,"")&amp;". "&amp;"Result: [P]% of "&amp;AE29&amp;" target reached."),"")</f>
        <v/>
      </c>
    </row>
    <row r="30" customFormat="false" ht="24" hidden="false" customHeight="true" outlineLevel="0" collapsed="false">
      <c r="B30" s="76" t="n">
        <v>24</v>
      </c>
      <c r="C30" s="76"/>
      <c r="D30" s="17"/>
      <c r="E30" s="17"/>
      <c r="F30" s="17"/>
      <c r="G30" s="77"/>
      <c r="H30" s="17"/>
      <c r="I30" s="17"/>
      <c r="J30" s="17"/>
      <c r="K30" s="17"/>
      <c r="L30" s="76"/>
      <c r="M30" s="76"/>
      <c r="N30" s="76"/>
      <c r="O30" s="76"/>
      <c r="P30" s="76"/>
      <c r="Q30" s="76"/>
      <c r="R30" s="76"/>
      <c r="S30" s="76"/>
      <c r="T30" s="76"/>
      <c r="U30" s="76"/>
      <c r="V30" s="76"/>
      <c r="W30" s="76" t="n">
        <f aca="false">IFERROR(SUM(O30:V30),"")</f>
        <v>0</v>
      </c>
      <c r="X30" s="76"/>
      <c r="Y30" s="76"/>
      <c r="Z30" s="77"/>
      <c r="AA30" s="17"/>
      <c r="AB30" s="76"/>
      <c r="AC30" s="77"/>
      <c r="AD30" s="17"/>
      <c r="AE30" s="76" t="str">
        <f aca="false">IF(C30="","",IFERROR(INDEX('8. Activity Tracker'!L:L,MATCH(C30,'8. Activity Tracker'!D:D,0)),"n/a"))</f>
        <v/>
      </c>
      <c r="AF30" s="76" t="str">
        <f aca="false">IFERROR(IF(OR(W30="",ISTEXT(AE30)),"",W30-AE30),"")</f>
        <v/>
      </c>
      <c r="AG30" s="78" t="str">
        <f aca="false">IFERROR(IF(OR(W30="",ISTEXT(AE30),AE30=0),"",W30/AE30),"")</f>
        <v/>
      </c>
      <c r="AH30" s="17" t="str">
        <f aca="false">IF(C30="","",IFERROR(INDEX('8. Activity Tracker'!J:J,MATCH(C30,'8. Activity Tracker'!D:D,0)),"n/a"))</f>
        <v/>
      </c>
      <c r="AI30" s="76" t="str">
        <f aca="false">IFERROR(IF(G30="","","Q"&amp;(ROUNDUP((DATEDIF(DATE(2026,6,1),G30,"m")+1)/3,0))),"")</f>
        <v/>
      </c>
      <c r="AJ30" s="76" t="str">
        <f aca="false">IFERROR(IF(G30="","",TEXT(G30,"mmm-yy")),"")</f>
        <v/>
      </c>
      <c r="AK30" s="17" t="str">
        <f aca="false">IFERROR(IF(K30="","","During "&amp;IF(AJ30="","[reporting period]",AJ30)&amp;", FIVDB distributed "&amp;N30&amp;" units of "&amp;K30&amp;" to "&amp;W30&amp;" recipients"&amp;IF(F30&lt;&gt;""," at "&amp;F30,"")&amp;". "&amp;"Result: [P]% of "&amp;AE30&amp;" target reached."),"")</f>
        <v/>
      </c>
    </row>
    <row r="31" customFormat="false" ht="24" hidden="false" customHeight="true" outlineLevel="0" collapsed="false">
      <c r="B31" s="22" t="n">
        <v>25</v>
      </c>
      <c r="C31" s="22"/>
      <c r="D31" s="16"/>
      <c r="E31" s="16"/>
      <c r="F31" s="16"/>
      <c r="G31" s="75"/>
      <c r="H31" s="16"/>
      <c r="I31" s="16"/>
      <c r="J31" s="16"/>
      <c r="K31" s="16"/>
      <c r="L31" s="22"/>
      <c r="M31" s="49"/>
      <c r="N31" s="49"/>
      <c r="O31" s="49"/>
      <c r="P31" s="49"/>
      <c r="Q31" s="49"/>
      <c r="R31" s="49"/>
      <c r="S31" s="49"/>
      <c r="T31" s="49"/>
      <c r="U31" s="49"/>
      <c r="V31" s="49"/>
      <c r="W31" s="22" t="n">
        <f aca="false">IFERROR(SUM(O31:V31),"")</f>
        <v>0</v>
      </c>
      <c r="X31" s="49"/>
      <c r="Y31" s="22"/>
      <c r="Z31" s="75"/>
      <c r="AA31" s="16"/>
      <c r="AB31" s="22"/>
      <c r="AC31" s="75"/>
      <c r="AD31" s="16"/>
      <c r="AE31" s="22" t="str">
        <f aca="false">IF(C31="","",IFERROR(INDEX('8. Activity Tracker'!L:L,MATCH(C31,'8. Activity Tracker'!D:D,0)),"n/a"))</f>
        <v/>
      </c>
      <c r="AF31" s="22" t="str">
        <f aca="false">IFERROR(IF(OR(W31="",ISTEXT(AE31)),"",W31-AE31),"")</f>
        <v/>
      </c>
      <c r="AG31" s="68" t="str">
        <f aca="false">IFERROR(IF(OR(W31="",ISTEXT(AE31),AE31=0),"",W31/AE31),"")</f>
        <v/>
      </c>
      <c r="AH31" s="16" t="str">
        <f aca="false">IF(C31="","",IFERROR(INDEX('8. Activity Tracker'!J:J,MATCH(C31,'8. Activity Tracker'!D:D,0)),"n/a"))</f>
        <v/>
      </c>
      <c r="AI31" s="22" t="str">
        <f aca="false">IFERROR(IF(G31="","","Q"&amp;(ROUNDUP((DATEDIF(DATE(2026,6,1),G31,"m")+1)/3,0))),"")</f>
        <v/>
      </c>
      <c r="AJ31" s="22" t="str">
        <f aca="false">IFERROR(IF(G31="","",TEXT(G31,"mmm-yy")),"")</f>
        <v/>
      </c>
      <c r="AK31" s="16" t="str">
        <f aca="false">IFERROR(IF(K31="","","During "&amp;IF(AJ31="","[reporting period]",AJ31)&amp;", FIVDB distributed "&amp;N31&amp;" units of "&amp;K31&amp;" to "&amp;W31&amp;" recipients"&amp;IF(F31&lt;&gt;""," at "&amp;F31,"")&amp;". "&amp;"Result: [P]% of "&amp;AE31&amp;" target reached."),"")</f>
        <v/>
      </c>
    </row>
    <row r="32" customFormat="false" ht="24" hidden="false" customHeight="true" outlineLevel="0" collapsed="false">
      <c r="B32" s="76" t="n">
        <v>26</v>
      </c>
      <c r="C32" s="76"/>
      <c r="D32" s="17"/>
      <c r="E32" s="17"/>
      <c r="F32" s="17"/>
      <c r="G32" s="77"/>
      <c r="H32" s="17"/>
      <c r="I32" s="17"/>
      <c r="J32" s="17"/>
      <c r="K32" s="17"/>
      <c r="L32" s="76"/>
      <c r="M32" s="76"/>
      <c r="N32" s="76"/>
      <c r="O32" s="76"/>
      <c r="P32" s="76"/>
      <c r="Q32" s="76"/>
      <c r="R32" s="76"/>
      <c r="S32" s="76"/>
      <c r="T32" s="76"/>
      <c r="U32" s="76"/>
      <c r="V32" s="76"/>
      <c r="W32" s="76" t="n">
        <f aca="false">IFERROR(SUM(O32:V32),"")</f>
        <v>0</v>
      </c>
      <c r="X32" s="76"/>
      <c r="Y32" s="76"/>
      <c r="Z32" s="77"/>
      <c r="AA32" s="17"/>
      <c r="AB32" s="76"/>
      <c r="AC32" s="77"/>
      <c r="AD32" s="17"/>
      <c r="AE32" s="76" t="str">
        <f aca="false">IF(C32="","",IFERROR(INDEX('8. Activity Tracker'!L:L,MATCH(C32,'8. Activity Tracker'!D:D,0)),"n/a"))</f>
        <v/>
      </c>
      <c r="AF32" s="76" t="str">
        <f aca="false">IFERROR(IF(OR(W32="",ISTEXT(AE32)),"",W32-AE32),"")</f>
        <v/>
      </c>
      <c r="AG32" s="78" t="str">
        <f aca="false">IFERROR(IF(OR(W32="",ISTEXT(AE32),AE32=0),"",W32/AE32),"")</f>
        <v/>
      </c>
      <c r="AH32" s="17" t="str">
        <f aca="false">IF(C32="","",IFERROR(INDEX('8. Activity Tracker'!J:J,MATCH(C32,'8. Activity Tracker'!D:D,0)),"n/a"))</f>
        <v/>
      </c>
      <c r="AI32" s="76" t="str">
        <f aca="false">IFERROR(IF(G32="","","Q"&amp;(ROUNDUP((DATEDIF(DATE(2026,6,1),G32,"m")+1)/3,0))),"")</f>
        <v/>
      </c>
      <c r="AJ32" s="76" t="str">
        <f aca="false">IFERROR(IF(G32="","",TEXT(G32,"mmm-yy")),"")</f>
        <v/>
      </c>
      <c r="AK32" s="17" t="str">
        <f aca="false">IFERROR(IF(K32="","","During "&amp;IF(AJ32="","[reporting period]",AJ32)&amp;", FIVDB distributed "&amp;N32&amp;" units of "&amp;K32&amp;" to "&amp;W32&amp;" recipients"&amp;IF(F32&lt;&gt;""," at "&amp;F32,"")&amp;". "&amp;"Result: [P]% of "&amp;AE32&amp;" target reached."),"")</f>
        <v/>
      </c>
    </row>
    <row r="33" customFormat="false" ht="24" hidden="false" customHeight="true" outlineLevel="0" collapsed="false">
      <c r="B33" s="22" t="n">
        <v>27</v>
      </c>
      <c r="C33" s="22"/>
      <c r="D33" s="16"/>
      <c r="E33" s="16"/>
      <c r="F33" s="16"/>
      <c r="G33" s="75"/>
      <c r="H33" s="16"/>
      <c r="I33" s="16"/>
      <c r="J33" s="16"/>
      <c r="K33" s="16"/>
      <c r="L33" s="22"/>
      <c r="M33" s="49"/>
      <c r="N33" s="49"/>
      <c r="O33" s="49"/>
      <c r="P33" s="49"/>
      <c r="Q33" s="49"/>
      <c r="R33" s="49"/>
      <c r="S33" s="49"/>
      <c r="T33" s="49"/>
      <c r="U33" s="49"/>
      <c r="V33" s="49"/>
      <c r="W33" s="22" t="n">
        <f aca="false">IFERROR(SUM(O33:V33),"")</f>
        <v>0</v>
      </c>
      <c r="X33" s="49"/>
      <c r="Y33" s="22"/>
      <c r="Z33" s="75"/>
      <c r="AA33" s="16"/>
      <c r="AB33" s="22"/>
      <c r="AC33" s="75"/>
      <c r="AD33" s="16"/>
      <c r="AE33" s="22" t="str">
        <f aca="false">IF(C33="","",IFERROR(INDEX('8. Activity Tracker'!L:L,MATCH(C33,'8. Activity Tracker'!D:D,0)),"n/a"))</f>
        <v/>
      </c>
      <c r="AF33" s="22" t="str">
        <f aca="false">IFERROR(IF(OR(W33="",ISTEXT(AE33)),"",W33-AE33),"")</f>
        <v/>
      </c>
      <c r="AG33" s="68" t="str">
        <f aca="false">IFERROR(IF(OR(W33="",ISTEXT(AE33),AE33=0),"",W33/AE33),"")</f>
        <v/>
      </c>
      <c r="AH33" s="16" t="str">
        <f aca="false">IF(C33="","",IFERROR(INDEX('8. Activity Tracker'!J:J,MATCH(C33,'8. Activity Tracker'!D:D,0)),"n/a"))</f>
        <v/>
      </c>
      <c r="AI33" s="22" t="str">
        <f aca="false">IFERROR(IF(G33="","","Q"&amp;(ROUNDUP((DATEDIF(DATE(2026,6,1),G33,"m")+1)/3,0))),"")</f>
        <v/>
      </c>
      <c r="AJ33" s="22" t="str">
        <f aca="false">IFERROR(IF(G33="","",TEXT(G33,"mmm-yy")),"")</f>
        <v/>
      </c>
      <c r="AK33" s="16" t="str">
        <f aca="false">IFERROR(IF(K33="","","During "&amp;IF(AJ33="","[reporting period]",AJ33)&amp;", FIVDB distributed "&amp;N33&amp;" units of "&amp;K33&amp;" to "&amp;W33&amp;" recipients"&amp;IF(F33&lt;&gt;""," at "&amp;F33,"")&amp;". "&amp;"Result: [P]% of "&amp;AE33&amp;" target reached."),"")</f>
        <v/>
      </c>
    </row>
    <row r="34" customFormat="false" ht="24" hidden="false" customHeight="true" outlineLevel="0" collapsed="false">
      <c r="B34" s="76" t="n">
        <v>28</v>
      </c>
      <c r="C34" s="76"/>
      <c r="D34" s="17"/>
      <c r="E34" s="17"/>
      <c r="F34" s="17"/>
      <c r="G34" s="77"/>
      <c r="H34" s="17"/>
      <c r="I34" s="17"/>
      <c r="J34" s="17"/>
      <c r="K34" s="17"/>
      <c r="L34" s="76"/>
      <c r="M34" s="76"/>
      <c r="N34" s="76"/>
      <c r="O34" s="76"/>
      <c r="P34" s="76"/>
      <c r="Q34" s="76"/>
      <c r="R34" s="76"/>
      <c r="S34" s="76"/>
      <c r="T34" s="76"/>
      <c r="U34" s="76"/>
      <c r="V34" s="76"/>
      <c r="W34" s="76" t="n">
        <f aca="false">IFERROR(SUM(O34:V34),"")</f>
        <v>0</v>
      </c>
      <c r="X34" s="76"/>
      <c r="Y34" s="76"/>
      <c r="Z34" s="77"/>
      <c r="AA34" s="17"/>
      <c r="AB34" s="76"/>
      <c r="AC34" s="77"/>
      <c r="AD34" s="17"/>
      <c r="AE34" s="76" t="str">
        <f aca="false">IF(C34="","",IFERROR(INDEX('8. Activity Tracker'!L:L,MATCH(C34,'8. Activity Tracker'!D:D,0)),"n/a"))</f>
        <v/>
      </c>
      <c r="AF34" s="76" t="str">
        <f aca="false">IFERROR(IF(OR(W34="",ISTEXT(AE34)),"",W34-AE34),"")</f>
        <v/>
      </c>
      <c r="AG34" s="78" t="str">
        <f aca="false">IFERROR(IF(OR(W34="",ISTEXT(AE34),AE34=0),"",W34/AE34),"")</f>
        <v/>
      </c>
      <c r="AH34" s="17" t="str">
        <f aca="false">IF(C34="","",IFERROR(INDEX('8. Activity Tracker'!J:J,MATCH(C34,'8. Activity Tracker'!D:D,0)),"n/a"))</f>
        <v/>
      </c>
      <c r="AI34" s="76" t="str">
        <f aca="false">IFERROR(IF(G34="","","Q"&amp;(ROUNDUP((DATEDIF(DATE(2026,6,1),G34,"m")+1)/3,0))),"")</f>
        <v/>
      </c>
      <c r="AJ34" s="76" t="str">
        <f aca="false">IFERROR(IF(G34="","",TEXT(G34,"mmm-yy")),"")</f>
        <v/>
      </c>
      <c r="AK34" s="17" t="str">
        <f aca="false">IFERROR(IF(K34="","","During "&amp;IF(AJ34="","[reporting period]",AJ34)&amp;", FIVDB distributed "&amp;N34&amp;" units of "&amp;K34&amp;" to "&amp;W34&amp;" recipients"&amp;IF(F34&lt;&gt;""," at "&amp;F34,"")&amp;". "&amp;"Result: [P]% of "&amp;AE34&amp;" target reached."),"")</f>
        <v/>
      </c>
    </row>
    <row r="35" customFormat="false" ht="24" hidden="false" customHeight="true" outlineLevel="0" collapsed="false">
      <c r="B35" s="22" t="n">
        <v>29</v>
      </c>
      <c r="C35" s="22"/>
      <c r="D35" s="16"/>
      <c r="E35" s="16"/>
      <c r="F35" s="16"/>
      <c r="G35" s="75"/>
      <c r="H35" s="16"/>
      <c r="I35" s="16"/>
      <c r="J35" s="16"/>
      <c r="K35" s="16"/>
      <c r="L35" s="22"/>
      <c r="M35" s="49"/>
      <c r="N35" s="49"/>
      <c r="O35" s="49"/>
      <c r="P35" s="49"/>
      <c r="Q35" s="49"/>
      <c r="R35" s="49"/>
      <c r="S35" s="49"/>
      <c r="T35" s="49"/>
      <c r="U35" s="49"/>
      <c r="V35" s="49"/>
      <c r="W35" s="22" t="n">
        <f aca="false">IFERROR(SUM(O35:V35),"")</f>
        <v>0</v>
      </c>
      <c r="X35" s="49"/>
      <c r="Y35" s="22"/>
      <c r="Z35" s="75"/>
      <c r="AA35" s="16"/>
      <c r="AB35" s="22"/>
      <c r="AC35" s="75"/>
      <c r="AD35" s="16"/>
      <c r="AE35" s="22" t="str">
        <f aca="false">IF(C35="","",IFERROR(INDEX('8. Activity Tracker'!L:L,MATCH(C35,'8. Activity Tracker'!D:D,0)),"n/a"))</f>
        <v/>
      </c>
      <c r="AF35" s="22" t="str">
        <f aca="false">IFERROR(IF(OR(W35="",ISTEXT(AE35)),"",W35-AE35),"")</f>
        <v/>
      </c>
      <c r="AG35" s="68" t="str">
        <f aca="false">IFERROR(IF(OR(W35="",ISTEXT(AE35),AE35=0),"",W35/AE35),"")</f>
        <v/>
      </c>
      <c r="AH35" s="16" t="str">
        <f aca="false">IF(C35="","",IFERROR(INDEX('8. Activity Tracker'!J:J,MATCH(C35,'8. Activity Tracker'!D:D,0)),"n/a"))</f>
        <v/>
      </c>
      <c r="AI35" s="22" t="str">
        <f aca="false">IFERROR(IF(G35="","","Q"&amp;(ROUNDUP((DATEDIF(DATE(2026,6,1),G35,"m")+1)/3,0))),"")</f>
        <v/>
      </c>
      <c r="AJ35" s="22" t="str">
        <f aca="false">IFERROR(IF(G35="","",TEXT(G35,"mmm-yy")),"")</f>
        <v/>
      </c>
      <c r="AK35" s="16" t="str">
        <f aca="false">IFERROR(IF(K35="","","During "&amp;IF(AJ35="","[reporting period]",AJ35)&amp;", FIVDB distributed "&amp;N35&amp;" units of "&amp;K35&amp;" to "&amp;W35&amp;" recipients"&amp;IF(F35&lt;&gt;""," at "&amp;F35,"")&amp;". "&amp;"Result: [P]% of "&amp;AE35&amp;" target reached."),"")</f>
        <v/>
      </c>
    </row>
    <row r="36" customFormat="false" ht="24" hidden="false" customHeight="true" outlineLevel="0" collapsed="false">
      <c r="B36" s="76" t="n">
        <v>30</v>
      </c>
      <c r="C36" s="76"/>
      <c r="D36" s="17"/>
      <c r="E36" s="17"/>
      <c r="F36" s="17"/>
      <c r="G36" s="77"/>
      <c r="H36" s="17"/>
      <c r="I36" s="17"/>
      <c r="J36" s="17"/>
      <c r="K36" s="17"/>
      <c r="L36" s="76"/>
      <c r="M36" s="76"/>
      <c r="N36" s="76"/>
      <c r="O36" s="76"/>
      <c r="P36" s="76"/>
      <c r="Q36" s="76"/>
      <c r="R36" s="76"/>
      <c r="S36" s="76"/>
      <c r="T36" s="76"/>
      <c r="U36" s="76"/>
      <c r="V36" s="76"/>
      <c r="W36" s="76" t="n">
        <f aca="false">IFERROR(SUM(O36:V36),"")</f>
        <v>0</v>
      </c>
      <c r="X36" s="76"/>
      <c r="Y36" s="76"/>
      <c r="Z36" s="77"/>
      <c r="AA36" s="17"/>
      <c r="AB36" s="76"/>
      <c r="AC36" s="77"/>
      <c r="AD36" s="17"/>
      <c r="AE36" s="76" t="str">
        <f aca="false">IF(C36="","",IFERROR(INDEX('8. Activity Tracker'!L:L,MATCH(C36,'8. Activity Tracker'!D:D,0)),"n/a"))</f>
        <v/>
      </c>
      <c r="AF36" s="76" t="str">
        <f aca="false">IFERROR(IF(OR(W36="",ISTEXT(AE36)),"",W36-AE36),"")</f>
        <v/>
      </c>
      <c r="AG36" s="78" t="str">
        <f aca="false">IFERROR(IF(OR(W36="",ISTEXT(AE36),AE36=0),"",W36/AE36),"")</f>
        <v/>
      </c>
      <c r="AH36" s="17" t="str">
        <f aca="false">IF(C36="","",IFERROR(INDEX('8. Activity Tracker'!J:J,MATCH(C36,'8. Activity Tracker'!D:D,0)),"n/a"))</f>
        <v/>
      </c>
      <c r="AI36" s="76" t="str">
        <f aca="false">IFERROR(IF(G36="","","Q"&amp;(ROUNDUP((DATEDIF(DATE(2026,6,1),G36,"m")+1)/3,0))),"")</f>
        <v/>
      </c>
      <c r="AJ36" s="76" t="str">
        <f aca="false">IFERROR(IF(G36="","",TEXT(G36,"mmm-yy")),"")</f>
        <v/>
      </c>
      <c r="AK36" s="17" t="str">
        <f aca="false">IFERROR(IF(K36="","","During "&amp;IF(AJ36="","[reporting period]",AJ36)&amp;", FIVDB distributed "&amp;N36&amp;" units of "&amp;K36&amp;" to "&amp;W36&amp;" recipients"&amp;IF(F36&lt;&gt;""," at "&amp;F36,"")&amp;". "&amp;"Result: [P]% of "&amp;AE36&amp;" target reached."),"")</f>
        <v/>
      </c>
    </row>
    <row r="37" customFormat="false" ht="24" hidden="false" customHeight="true" outlineLevel="0" collapsed="false">
      <c r="B37" s="22" t="n">
        <v>31</v>
      </c>
      <c r="C37" s="22"/>
      <c r="D37" s="16"/>
      <c r="E37" s="16"/>
      <c r="F37" s="16"/>
      <c r="G37" s="75"/>
      <c r="H37" s="16"/>
      <c r="I37" s="16"/>
      <c r="J37" s="16"/>
      <c r="K37" s="16"/>
      <c r="L37" s="22"/>
      <c r="M37" s="49"/>
      <c r="N37" s="49"/>
      <c r="O37" s="49"/>
      <c r="P37" s="49"/>
      <c r="Q37" s="49"/>
      <c r="R37" s="49"/>
      <c r="S37" s="49"/>
      <c r="T37" s="49"/>
      <c r="U37" s="49"/>
      <c r="V37" s="49"/>
      <c r="W37" s="22" t="n">
        <f aca="false">IFERROR(SUM(O37:V37),"")</f>
        <v>0</v>
      </c>
      <c r="X37" s="49"/>
      <c r="Y37" s="22"/>
      <c r="Z37" s="75"/>
      <c r="AA37" s="16"/>
      <c r="AB37" s="22"/>
      <c r="AC37" s="75"/>
      <c r="AD37" s="16"/>
      <c r="AE37" s="22" t="str">
        <f aca="false">IF(C37="","",IFERROR(INDEX('8. Activity Tracker'!L:L,MATCH(C37,'8. Activity Tracker'!D:D,0)),"n/a"))</f>
        <v/>
      </c>
      <c r="AF37" s="22" t="str">
        <f aca="false">IFERROR(IF(OR(W37="",ISTEXT(AE37)),"",W37-AE37),"")</f>
        <v/>
      </c>
      <c r="AG37" s="68" t="str">
        <f aca="false">IFERROR(IF(OR(W37="",ISTEXT(AE37),AE37=0),"",W37/AE37),"")</f>
        <v/>
      </c>
      <c r="AH37" s="16" t="str">
        <f aca="false">IF(C37="","",IFERROR(INDEX('8. Activity Tracker'!J:J,MATCH(C37,'8. Activity Tracker'!D:D,0)),"n/a"))</f>
        <v/>
      </c>
      <c r="AI37" s="22" t="str">
        <f aca="false">IFERROR(IF(G37="","","Q"&amp;(ROUNDUP((DATEDIF(DATE(2026,6,1),G37,"m")+1)/3,0))),"")</f>
        <v/>
      </c>
      <c r="AJ37" s="22" t="str">
        <f aca="false">IFERROR(IF(G37="","",TEXT(G37,"mmm-yy")),"")</f>
        <v/>
      </c>
      <c r="AK37" s="16" t="str">
        <f aca="false">IFERROR(IF(K37="","","During "&amp;IF(AJ37="","[reporting period]",AJ37)&amp;", FIVDB distributed "&amp;N37&amp;" units of "&amp;K37&amp;" to "&amp;W37&amp;" recipients"&amp;IF(F37&lt;&gt;""," at "&amp;F37,"")&amp;". "&amp;"Result: [P]% of "&amp;AE37&amp;" target reached."),"")</f>
        <v/>
      </c>
    </row>
    <row r="38" customFormat="false" ht="24" hidden="false" customHeight="true" outlineLevel="0" collapsed="false">
      <c r="B38" s="76" t="n">
        <v>32</v>
      </c>
      <c r="C38" s="76"/>
      <c r="D38" s="17"/>
      <c r="E38" s="17"/>
      <c r="F38" s="17"/>
      <c r="G38" s="77"/>
      <c r="H38" s="17"/>
      <c r="I38" s="17"/>
      <c r="J38" s="17"/>
      <c r="K38" s="17"/>
      <c r="L38" s="76"/>
      <c r="M38" s="76"/>
      <c r="N38" s="76"/>
      <c r="O38" s="76"/>
      <c r="P38" s="76"/>
      <c r="Q38" s="76"/>
      <c r="R38" s="76"/>
      <c r="S38" s="76"/>
      <c r="T38" s="76"/>
      <c r="U38" s="76"/>
      <c r="V38" s="76"/>
      <c r="W38" s="76" t="n">
        <f aca="false">IFERROR(SUM(O38:V38),"")</f>
        <v>0</v>
      </c>
      <c r="X38" s="76"/>
      <c r="Y38" s="76"/>
      <c r="Z38" s="77"/>
      <c r="AA38" s="17"/>
      <c r="AB38" s="76"/>
      <c r="AC38" s="77"/>
      <c r="AD38" s="17"/>
      <c r="AE38" s="76" t="str">
        <f aca="false">IF(C38="","",IFERROR(INDEX('8. Activity Tracker'!L:L,MATCH(C38,'8. Activity Tracker'!D:D,0)),"n/a"))</f>
        <v/>
      </c>
      <c r="AF38" s="76" t="str">
        <f aca="false">IFERROR(IF(OR(W38="",ISTEXT(AE38)),"",W38-AE38),"")</f>
        <v/>
      </c>
      <c r="AG38" s="78" t="str">
        <f aca="false">IFERROR(IF(OR(W38="",ISTEXT(AE38),AE38=0),"",W38/AE38),"")</f>
        <v/>
      </c>
      <c r="AH38" s="17" t="str">
        <f aca="false">IF(C38="","",IFERROR(INDEX('8. Activity Tracker'!J:J,MATCH(C38,'8. Activity Tracker'!D:D,0)),"n/a"))</f>
        <v/>
      </c>
      <c r="AI38" s="76" t="str">
        <f aca="false">IFERROR(IF(G38="","","Q"&amp;(ROUNDUP((DATEDIF(DATE(2026,6,1),G38,"m")+1)/3,0))),"")</f>
        <v/>
      </c>
      <c r="AJ38" s="76" t="str">
        <f aca="false">IFERROR(IF(G38="","",TEXT(G38,"mmm-yy")),"")</f>
        <v/>
      </c>
      <c r="AK38" s="17" t="str">
        <f aca="false">IFERROR(IF(K38="","","During "&amp;IF(AJ38="","[reporting period]",AJ38)&amp;", FIVDB distributed "&amp;N38&amp;" units of "&amp;K38&amp;" to "&amp;W38&amp;" recipients"&amp;IF(F38&lt;&gt;""," at "&amp;F38,"")&amp;". "&amp;"Result: [P]% of "&amp;AE38&amp;" target reached."),"")</f>
        <v/>
      </c>
    </row>
    <row r="39" customFormat="false" ht="24" hidden="false" customHeight="true" outlineLevel="0" collapsed="false">
      <c r="B39" s="22" t="n">
        <v>33</v>
      </c>
      <c r="C39" s="22"/>
      <c r="D39" s="16"/>
      <c r="E39" s="16"/>
      <c r="F39" s="16"/>
      <c r="G39" s="75"/>
      <c r="H39" s="16"/>
      <c r="I39" s="16"/>
      <c r="J39" s="16"/>
      <c r="K39" s="16"/>
      <c r="L39" s="22"/>
      <c r="M39" s="49"/>
      <c r="N39" s="49"/>
      <c r="O39" s="49"/>
      <c r="P39" s="49"/>
      <c r="Q39" s="49"/>
      <c r="R39" s="49"/>
      <c r="S39" s="49"/>
      <c r="T39" s="49"/>
      <c r="U39" s="49"/>
      <c r="V39" s="49"/>
      <c r="W39" s="22" t="n">
        <f aca="false">IFERROR(SUM(O39:V39),"")</f>
        <v>0</v>
      </c>
      <c r="X39" s="49"/>
      <c r="Y39" s="22"/>
      <c r="Z39" s="75"/>
      <c r="AA39" s="16"/>
      <c r="AB39" s="22"/>
      <c r="AC39" s="75"/>
      <c r="AD39" s="16"/>
      <c r="AE39" s="22" t="str">
        <f aca="false">IF(C39="","",IFERROR(INDEX('8. Activity Tracker'!L:L,MATCH(C39,'8. Activity Tracker'!D:D,0)),"n/a"))</f>
        <v/>
      </c>
      <c r="AF39" s="22" t="str">
        <f aca="false">IFERROR(IF(OR(W39="",ISTEXT(AE39)),"",W39-AE39),"")</f>
        <v/>
      </c>
      <c r="AG39" s="68" t="str">
        <f aca="false">IFERROR(IF(OR(W39="",ISTEXT(AE39),AE39=0),"",W39/AE39),"")</f>
        <v/>
      </c>
      <c r="AH39" s="16" t="str">
        <f aca="false">IF(C39="","",IFERROR(INDEX('8. Activity Tracker'!J:J,MATCH(C39,'8. Activity Tracker'!D:D,0)),"n/a"))</f>
        <v/>
      </c>
      <c r="AI39" s="22" t="str">
        <f aca="false">IFERROR(IF(G39="","","Q"&amp;(ROUNDUP((DATEDIF(DATE(2026,6,1),G39,"m")+1)/3,0))),"")</f>
        <v/>
      </c>
      <c r="AJ39" s="22" t="str">
        <f aca="false">IFERROR(IF(G39="","",TEXT(G39,"mmm-yy")),"")</f>
        <v/>
      </c>
      <c r="AK39" s="16" t="str">
        <f aca="false">IFERROR(IF(K39="","","During "&amp;IF(AJ39="","[reporting period]",AJ39)&amp;", FIVDB distributed "&amp;N39&amp;" units of "&amp;K39&amp;" to "&amp;W39&amp;" recipients"&amp;IF(F39&lt;&gt;""," at "&amp;F39,"")&amp;". "&amp;"Result: [P]% of "&amp;AE39&amp;" target reached."),"")</f>
        <v/>
      </c>
    </row>
    <row r="40" customFormat="false" ht="24" hidden="false" customHeight="true" outlineLevel="0" collapsed="false">
      <c r="B40" s="76" t="n">
        <v>34</v>
      </c>
      <c r="C40" s="76"/>
      <c r="D40" s="17"/>
      <c r="E40" s="17"/>
      <c r="F40" s="17"/>
      <c r="G40" s="77"/>
      <c r="H40" s="17"/>
      <c r="I40" s="17"/>
      <c r="J40" s="17"/>
      <c r="K40" s="17"/>
      <c r="L40" s="76"/>
      <c r="M40" s="76"/>
      <c r="N40" s="76"/>
      <c r="O40" s="76"/>
      <c r="P40" s="76"/>
      <c r="Q40" s="76"/>
      <c r="R40" s="76"/>
      <c r="S40" s="76"/>
      <c r="T40" s="76"/>
      <c r="U40" s="76"/>
      <c r="V40" s="76"/>
      <c r="W40" s="76" t="n">
        <f aca="false">IFERROR(SUM(O40:V40),"")</f>
        <v>0</v>
      </c>
      <c r="X40" s="76"/>
      <c r="Y40" s="76"/>
      <c r="Z40" s="77"/>
      <c r="AA40" s="17"/>
      <c r="AB40" s="76"/>
      <c r="AC40" s="77"/>
      <c r="AD40" s="17"/>
      <c r="AE40" s="76" t="str">
        <f aca="false">IF(C40="","",IFERROR(INDEX('8. Activity Tracker'!L:L,MATCH(C40,'8. Activity Tracker'!D:D,0)),"n/a"))</f>
        <v/>
      </c>
      <c r="AF40" s="76" t="str">
        <f aca="false">IFERROR(IF(OR(W40="",ISTEXT(AE40)),"",W40-AE40),"")</f>
        <v/>
      </c>
      <c r="AG40" s="78" t="str">
        <f aca="false">IFERROR(IF(OR(W40="",ISTEXT(AE40),AE40=0),"",W40/AE40),"")</f>
        <v/>
      </c>
      <c r="AH40" s="17" t="str">
        <f aca="false">IF(C40="","",IFERROR(INDEX('8. Activity Tracker'!J:J,MATCH(C40,'8. Activity Tracker'!D:D,0)),"n/a"))</f>
        <v/>
      </c>
      <c r="AI40" s="76" t="str">
        <f aca="false">IFERROR(IF(G40="","","Q"&amp;(ROUNDUP((DATEDIF(DATE(2026,6,1),G40,"m")+1)/3,0))),"")</f>
        <v/>
      </c>
      <c r="AJ40" s="76" t="str">
        <f aca="false">IFERROR(IF(G40="","",TEXT(G40,"mmm-yy")),"")</f>
        <v/>
      </c>
      <c r="AK40" s="17" t="str">
        <f aca="false">IFERROR(IF(K40="","","During "&amp;IF(AJ40="","[reporting period]",AJ40)&amp;", FIVDB distributed "&amp;N40&amp;" units of "&amp;K40&amp;" to "&amp;W40&amp;" recipients"&amp;IF(F40&lt;&gt;""," at "&amp;F40,"")&amp;". "&amp;"Result: [P]% of "&amp;AE40&amp;" target reached."),"")</f>
        <v/>
      </c>
    </row>
    <row r="41" customFormat="false" ht="24" hidden="false" customHeight="true" outlineLevel="0" collapsed="false">
      <c r="B41" s="22" t="n">
        <v>35</v>
      </c>
      <c r="C41" s="22"/>
      <c r="D41" s="16"/>
      <c r="E41" s="16"/>
      <c r="F41" s="16"/>
      <c r="G41" s="75"/>
      <c r="H41" s="16"/>
      <c r="I41" s="16"/>
      <c r="J41" s="16"/>
      <c r="K41" s="16"/>
      <c r="L41" s="22"/>
      <c r="M41" s="49"/>
      <c r="N41" s="49"/>
      <c r="O41" s="49"/>
      <c r="P41" s="49"/>
      <c r="Q41" s="49"/>
      <c r="R41" s="49"/>
      <c r="S41" s="49"/>
      <c r="T41" s="49"/>
      <c r="U41" s="49"/>
      <c r="V41" s="49"/>
      <c r="W41" s="22" t="n">
        <f aca="false">IFERROR(SUM(O41:V41),"")</f>
        <v>0</v>
      </c>
      <c r="X41" s="49"/>
      <c r="Y41" s="22"/>
      <c r="Z41" s="75"/>
      <c r="AA41" s="16"/>
      <c r="AB41" s="22"/>
      <c r="AC41" s="75"/>
      <c r="AD41" s="16"/>
      <c r="AE41" s="22" t="str">
        <f aca="false">IF(C41="","",IFERROR(INDEX('8. Activity Tracker'!L:L,MATCH(C41,'8. Activity Tracker'!D:D,0)),"n/a"))</f>
        <v/>
      </c>
      <c r="AF41" s="22" t="str">
        <f aca="false">IFERROR(IF(OR(W41="",ISTEXT(AE41)),"",W41-AE41),"")</f>
        <v/>
      </c>
      <c r="AG41" s="68" t="str">
        <f aca="false">IFERROR(IF(OR(W41="",ISTEXT(AE41),AE41=0),"",W41/AE41),"")</f>
        <v/>
      </c>
      <c r="AH41" s="16" t="str">
        <f aca="false">IF(C41="","",IFERROR(INDEX('8. Activity Tracker'!J:J,MATCH(C41,'8. Activity Tracker'!D:D,0)),"n/a"))</f>
        <v/>
      </c>
      <c r="AI41" s="22" t="str">
        <f aca="false">IFERROR(IF(G41="","","Q"&amp;(ROUNDUP((DATEDIF(DATE(2026,6,1),G41,"m")+1)/3,0))),"")</f>
        <v/>
      </c>
      <c r="AJ41" s="22" t="str">
        <f aca="false">IFERROR(IF(G41="","",TEXT(G41,"mmm-yy")),"")</f>
        <v/>
      </c>
      <c r="AK41" s="16" t="str">
        <f aca="false">IFERROR(IF(K41="","","During "&amp;IF(AJ41="","[reporting period]",AJ41)&amp;", FIVDB distributed "&amp;N41&amp;" units of "&amp;K41&amp;" to "&amp;W41&amp;" recipients"&amp;IF(F41&lt;&gt;""," at "&amp;F41,"")&amp;". "&amp;"Result: [P]% of "&amp;AE41&amp;" target reached."),"")</f>
        <v/>
      </c>
    </row>
    <row r="42" customFormat="false" ht="24" hidden="false" customHeight="true" outlineLevel="0" collapsed="false">
      <c r="B42" s="76" t="n">
        <v>36</v>
      </c>
      <c r="C42" s="76"/>
      <c r="D42" s="17"/>
      <c r="E42" s="17"/>
      <c r="F42" s="17"/>
      <c r="G42" s="77"/>
      <c r="H42" s="17"/>
      <c r="I42" s="17"/>
      <c r="J42" s="17"/>
      <c r="K42" s="17"/>
      <c r="L42" s="76"/>
      <c r="M42" s="76"/>
      <c r="N42" s="76"/>
      <c r="O42" s="76"/>
      <c r="P42" s="76"/>
      <c r="Q42" s="76"/>
      <c r="R42" s="76"/>
      <c r="S42" s="76"/>
      <c r="T42" s="76"/>
      <c r="U42" s="76"/>
      <c r="V42" s="76"/>
      <c r="W42" s="76" t="n">
        <f aca="false">IFERROR(SUM(O42:V42),"")</f>
        <v>0</v>
      </c>
      <c r="X42" s="76"/>
      <c r="Y42" s="76"/>
      <c r="Z42" s="77"/>
      <c r="AA42" s="17"/>
      <c r="AB42" s="76"/>
      <c r="AC42" s="77"/>
      <c r="AD42" s="17"/>
      <c r="AE42" s="76" t="str">
        <f aca="false">IF(C42="","",IFERROR(INDEX('8. Activity Tracker'!L:L,MATCH(C42,'8. Activity Tracker'!D:D,0)),"n/a"))</f>
        <v/>
      </c>
      <c r="AF42" s="76" t="str">
        <f aca="false">IFERROR(IF(OR(W42="",ISTEXT(AE42)),"",W42-AE42),"")</f>
        <v/>
      </c>
      <c r="AG42" s="78" t="str">
        <f aca="false">IFERROR(IF(OR(W42="",ISTEXT(AE42),AE42=0),"",W42/AE42),"")</f>
        <v/>
      </c>
      <c r="AH42" s="17" t="str">
        <f aca="false">IF(C42="","",IFERROR(INDEX('8. Activity Tracker'!J:J,MATCH(C42,'8. Activity Tracker'!D:D,0)),"n/a"))</f>
        <v/>
      </c>
      <c r="AI42" s="76" t="str">
        <f aca="false">IFERROR(IF(G42="","","Q"&amp;(ROUNDUP((DATEDIF(DATE(2026,6,1),G42,"m")+1)/3,0))),"")</f>
        <v/>
      </c>
      <c r="AJ42" s="76" t="str">
        <f aca="false">IFERROR(IF(G42="","",TEXT(G42,"mmm-yy")),"")</f>
        <v/>
      </c>
      <c r="AK42" s="17" t="str">
        <f aca="false">IFERROR(IF(K42="","","During "&amp;IF(AJ42="","[reporting period]",AJ42)&amp;", FIVDB distributed "&amp;N42&amp;" units of "&amp;K42&amp;" to "&amp;W42&amp;" recipients"&amp;IF(F42&lt;&gt;""," at "&amp;F42,"")&amp;". "&amp;"Result: [P]% of "&amp;AE42&amp;" target reached."),"")</f>
        <v/>
      </c>
    </row>
    <row r="43" customFormat="false" ht="24" hidden="false" customHeight="true" outlineLevel="0" collapsed="false">
      <c r="B43" s="22" t="n">
        <v>37</v>
      </c>
      <c r="C43" s="22"/>
      <c r="D43" s="16"/>
      <c r="E43" s="16"/>
      <c r="F43" s="16"/>
      <c r="G43" s="75"/>
      <c r="H43" s="16"/>
      <c r="I43" s="16"/>
      <c r="J43" s="16"/>
      <c r="K43" s="16"/>
      <c r="L43" s="22"/>
      <c r="M43" s="49"/>
      <c r="N43" s="49"/>
      <c r="O43" s="49"/>
      <c r="P43" s="49"/>
      <c r="Q43" s="49"/>
      <c r="R43" s="49"/>
      <c r="S43" s="49"/>
      <c r="T43" s="49"/>
      <c r="U43" s="49"/>
      <c r="V43" s="49"/>
      <c r="W43" s="22" t="n">
        <f aca="false">IFERROR(SUM(O43:V43),"")</f>
        <v>0</v>
      </c>
      <c r="X43" s="49"/>
      <c r="Y43" s="22"/>
      <c r="Z43" s="75"/>
      <c r="AA43" s="16"/>
      <c r="AB43" s="22"/>
      <c r="AC43" s="75"/>
      <c r="AD43" s="16"/>
      <c r="AE43" s="22" t="str">
        <f aca="false">IF(C43="","",IFERROR(INDEX('8. Activity Tracker'!L:L,MATCH(C43,'8. Activity Tracker'!D:D,0)),"n/a"))</f>
        <v/>
      </c>
      <c r="AF43" s="22" t="str">
        <f aca="false">IFERROR(IF(OR(W43="",ISTEXT(AE43)),"",W43-AE43),"")</f>
        <v/>
      </c>
      <c r="AG43" s="68" t="str">
        <f aca="false">IFERROR(IF(OR(W43="",ISTEXT(AE43),AE43=0),"",W43/AE43),"")</f>
        <v/>
      </c>
      <c r="AH43" s="16" t="str">
        <f aca="false">IF(C43="","",IFERROR(INDEX('8. Activity Tracker'!J:J,MATCH(C43,'8. Activity Tracker'!D:D,0)),"n/a"))</f>
        <v/>
      </c>
      <c r="AI43" s="22" t="str">
        <f aca="false">IFERROR(IF(G43="","","Q"&amp;(ROUNDUP((DATEDIF(DATE(2026,6,1),G43,"m")+1)/3,0))),"")</f>
        <v/>
      </c>
      <c r="AJ43" s="22" t="str">
        <f aca="false">IFERROR(IF(G43="","",TEXT(G43,"mmm-yy")),"")</f>
        <v/>
      </c>
      <c r="AK43" s="16" t="str">
        <f aca="false">IFERROR(IF(K43="","","During "&amp;IF(AJ43="","[reporting period]",AJ43)&amp;", FIVDB distributed "&amp;N43&amp;" units of "&amp;K43&amp;" to "&amp;W43&amp;" recipients"&amp;IF(F43&lt;&gt;""," at "&amp;F43,"")&amp;". "&amp;"Result: [P]% of "&amp;AE43&amp;" target reached."),"")</f>
        <v/>
      </c>
    </row>
    <row r="44" customFormat="false" ht="24" hidden="false" customHeight="true" outlineLevel="0" collapsed="false">
      <c r="B44" s="76" t="n">
        <v>38</v>
      </c>
      <c r="C44" s="76"/>
      <c r="D44" s="17"/>
      <c r="E44" s="17"/>
      <c r="F44" s="17"/>
      <c r="G44" s="77"/>
      <c r="H44" s="17"/>
      <c r="I44" s="17"/>
      <c r="J44" s="17"/>
      <c r="K44" s="17"/>
      <c r="L44" s="76"/>
      <c r="M44" s="76"/>
      <c r="N44" s="76"/>
      <c r="O44" s="76"/>
      <c r="P44" s="76"/>
      <c r="Q44" s="76"/>
      <c r="R44" s="76"/>
      <c r="S44" s="76"/>
      <c r="T44" s="76"/>
      <c r="U44" s="76"/>
      <c r="V44" s="76"/>
      <c r="W44" s="76" t="n">
        <f aca="false">IFERROR(SUM(O44:V44),"")</f>
        <v>0</v>
      </c>
      <c r="X44" s="76"/>
      <c r="Y44" s="76"/>
      <c r="Z44" s="77"/>
      <c r="AA44" s="17"/>
      <c r="AB44" s="76"/>
      <c r="AC44" s="77"/>
      <c r="AD44" s="17"/>
      <c r="AE44" s="76" t="str">
        <f aca="false">IF(C44="","",IFERROR(INDEX('8. Activity Tracker'!L:L,MATCH(C44,'8. Activity Tracker'!D:D,0)),"n/a"))</f>
        <v/>
      </c>
      <c r="AF44" s="76" t="str">
        <f aca="false">IFERROR(IF(OR(W44="",ISTEXT(AE44)),"",W44-AE44),"")</f>
        <v/>
      </c>
      <c r="AG44" s="78" t="str">
        <f aca="false">IFERROR(IF(OR(W44="",ISTEXT(AE44),AE44=0),"",W44/AE44),"")</f>
        <v/>
      </c>
      <c r="AH44" s="17" t="str">
        <f aca="false">IF(C44="","",IFERROR(INDEX('8. Activity Tracker'!J:J,MATCH(C44,'8. Activity Tracker'!D:D,0)),"n/a"))</f>
        <v/>
      </c>
      <c r="AI44" s="76" t="str">
        <f aca="false">IFERROR(IF(G44="","","Q"&amp;(ROUNDUP((DATEDIF(DATE(2026,6,1),G44,"m")+1)/3,0))),"")</f>
        <v/>
      </c>
      <c r="AJ44" s="76" t="str">
        <f aca="false">IFERROR(IF(G44="","",TEXT(G44,"mmm-yy")),"")</f>
        <v/>
      </c>
      <c r="AK44" s="17" t="str">
        <f aca="false">IFERROR(IF(K44="","","During "&amp;IF(AJ44="","[reporting period]",AJ44)&amp;", FIVDB distributed "&amp;N44&amp;" units of "&amp;K44&amp;" to "&amp;W44&amp;" recipients"&amp;IF(F44&lt;&gt;""," at "&amp;F44,"")&amp;". "&amp;"Result: [P]% of "&amp;AE44&amp;" target reached."),"")</f>
        <v/>
      </c>
    </row>
    <row r="45" customFormat="false" ht="24" hidden="false" customHeight="true" outlineLevel="0" collapsed="false">
      <c r="B45" s="22" t="n">
        <v>39</v>
      </c>
      <c r="C45" s="22"/>
      <c r="D45" s="16"/>
      <c r="E45" s="16"/>
      <c r="F45" s="16"/>
      <c r="G45" s="75"/>
      <c r="H45" s="16"/>
      <c r="I45" s="16"/>
      <c r="J45" s="16"/>
      <c r="K45" s="16"/>
      <c r="L45" s="22"/>
      <c r="M45" s="49"/>
      <c r="N45" s="49"/>
      <c r="O45" s="49"/>
      <c r="P45" s="49"/>
      <c r="Q45" s="49"/>
      <c r="R45" s="49"/>
      <c r="S45" s="49"/>
      <c r="T45" s="49"/>
      <c r="U45" s="49"/>
      <c r="V45" s="49"/>
      <c r="W45" s="22" t="n">
        <f aca="false">IFERROR(SUM(O45:V45),"")</f>
        <v>0</v>
      </c>
      <c r="X45" s="49"/>
      <c r="Y45" s="22"/>
      <c r="Z45" s="75"/>
      <c r="AA45" s="16"/>
      <c r="AB45" s="22"/>
      <c r="AC45" s="75"/>
      <c r="AD45" s="16"/>
      <c r="AE45" s="22" t="str">
        <f aca="false">IF(C45="","",IFERROR(INDEX('8. Activity Tracker'!L:L,MATCH(C45,'8. Activity Tracker'!D:D,0)),"n/a"))</f>
        <v/>
      </c>
      <c r="AF45" s="22" t="str">
        <f aca="false">IFERROR(IF(OR(W45="",ISTEXT(AE45)),"",W45-AE45),"")</f>
        <v/>
      </c>
      <c r="AG45" s="68" t="str">
        <f aca="false">IFERROR(IF(OR(W45="",ISTEXT(AE45),AE45=0),"",W45/AE45),"")</f>
        <v/>
      </c>
      <c r="AH45" s="16" t="str">
        <f aca="false">IF(C45="","",IFERROR(INDEX('8. Activity Tracker'!J:J,MATCH(C45,'8. Activity Tracker'!D:D,0)),"n/a"))</f>
        <v/>
      </c>
      <c r="AI45" s="22" t="str">
        <f aca="false">IFERROR(IF(G45="","","Q"&amp;(ROUNDUP((DATEDIF(DATE(2026,6,1),G45,"m")+1)/3,0))),"")</f>
        <v/>
      </c>
      <c r="AJ45" s="22" t="str">
        <f aca="false">IFERROR(IF(G45="","",TEXT(G45,"mmm-yy")),"")</f>
        <v/>
      </c>
      <c r="AK45" s="16" t="str">
        <f aca="false">IFERROR(IF(K45="","","During "&amp;IF(AJ45="","[reporting period]",AJ45)&amp;", FIVDB distributed "&amp;N45&amp;" units of "&amp;K45&amp;" to "&amp;W45&amp;" recipients"&amp;IF(F45&lt;&gt;""," at "&amp;F45,"")&amp;". "&amp;"Result: [P]% of "&amp;AE45&amp;" target reached."),"")</f>
        <v/>
      </c>
    </row>
    <row r="46" customFormat="false" ht="24" hidden="false" customHeight="true" outlineLevel="0" collapsed="false">
      <c r="B46" s="76" t="n">
        <v>40</v>
      </c>
      <c r="C46" s="76"/>
      <c r="D46" s="17"/>
      <c r="E46" s="17"/>
      <c r="F46" s="17"/>
      <c r="G46" s="77"/>
      <c r="H46" s="17"/>
      <c r="I46" s="17"/>
      <c r="J46" s="17"/>
      <c r="K46" s="17"/>
      <c r="L46" s="76"/>
      <c r="M46" s="76"/>
      <c r="N46" s="76"/>
      <c r="O46" s="76"/>
      <c r="P46" s="76"/>
      <c r="Q46" s="76"/>
      <c r="R46" s="76"/>
      <c r="S46" s="76"/>
      <c r="T46" s="76"/>
      <c r="U46" s="76"/>
      <c r="V46" s="76"/>
      <c r="W46" s="76" t="n">
        <f aca="false">IFERROR(SUM(O46:V46),"")</f>
        <v>0</v>
      </c>
      <c r="X46" s="76"/>
      <c r="Y46" s="76"/>
      <c r="Z46" s="77"/>
      <c r="AA46" s="17"/>
      <c r="AB46" s="76"/>
      <c r="AC46" s="77"/>
      <c r="AD46" s="17"/>
      <c r="AE46" s="76" t="str">
        <f aca="false">IF(C46="","",IFERROR(INDEX('8. Activity Tracker'!L:L,MATCH(C46,'8. Activity Tracker'!D:D,0)),"n/a"))</f>
        <v/>
      </c>
      <c r="AF46" s="76" t="str">
        <f aca="false">IFERROR(IF(OR(W46="",ISTEXT(AE46)),"",W46-AE46),"")</f>
        <v/>
      </c>
      <c r="AG46" s="78" t="str">
        <f aca="false">IFERROR(IF(OR(W46="",ISTEXT(AE46),AE46=0),"",W46/AE46),"")</f>
        <v/>
      </c>
      <c r="AH46" s="17" t="str">
        <f aca="false">IF(C46="","",IFERROR(INDEX('8. Activity Tracker'!J:J,MATCH(C46,'8. Activity Tracker'!D:D,0)),"n/a"))</f>
        <v/>
      </c>
      <c r="AI46" s="76" t="str">
        <f aca="false">IFERROR(IF(G46="","","Q"&amp;(ROUNDUP((DATEDIF(DATE(2026,6,1),G46,"m")+1)/3,0))),"")</f>
        <v/>
      </c>
      <c r="AJ46" s="76" t="str">
        <f aca="false">IFERROR(IF(G46="","",TEXT(G46,"mmm-yy")),"")</f>
        <v/>
      </c>
      <c r="AK46" s="17" t="str">
        <f aca="false">IFERROR(IF(K46="","","During "&amp;IF(AJ46="","[reporting period]",AJ46)&amp;", FIVDB distributed "&amp;N46&amp;" units of "&amp;K46&amp;" to "&amp;W46&amp;" recipients"&amp;IF(F46&lt;&gt;""," at "&amp;F46,"")&amp;". "&amp;"Result: [P]% of "&amp;AE46&amp;" target reached."),"")</f>
        <v/>
      </c>
    </row>
    <row r="48" customFormat="false" ht="21.75" hidden="false" customHeight="true" outlineLevel="0" collapsed="false">
      <c r="D48" s="46" t="s">
        <v>1558</v>
      </c>
      <c r="M48" s="46" t="n">
        <f aca="false">SUM(M7:M46)</f>
        <v>0</v>
      </c>
      <c r="N48" s="46" t="n">
        <f aca="false">SUM(N7:N46)</f>
        <v>0</v>
      </c>
      <c r="O48" s="46" t="n">
        <f aca="false">SUM(O7:O46)</f>
        <v>0</v>
      </c>
      <c r="P48" s="46" t="n">
        <f aca="false">SUM(P7:P46)</f>
        <v>0</v>
      </c>
      <c r="Q48" s="46" t="n">
        <f aca="false">SUM(Q7:Q46)</f>
        <v>0</v>
      </c>
      <c r="R48" s="46" t="n">
        <f aca="false">SUM(R7:R46)</f>
        <v>0</v>
      </c>
      <c r="S48" s="46" t="n">
        <f aca="false">SUM(S7:S46)</f>
        <v>0</v>
      </c>
      <c r="T48" s="46" t="n">
        <f aca="false">SUM(T7:T46)</f>
        <v>0</v>
      </c>
      <c r="U48" s="46" t="n">
        <f aca="false">SUM(U7:U46)</f>
        <v>0</v>
      </c>
      <c r="V48" s="46" t="n">
        <f aca="false">SUM(V7:V46)</f>
        <v>0</v>
      </c>
      <c r="W48" s="46" t="n">
        <f aca="false">SUM(W7:W46)</f>
        <v>0</v>
      </c>
      <c r="X48" s="46" t="n">
        <f aca="false">SUM(X7:X46)</f>
        <v>0</v>
      </c>
    </row>
  </sheetData>
  <autoFilter ref="B6:AK46"/>
  <mergeCells count="32">
    <mergeCell ref="B2:AK2"/>
    <mergeCell ref="B3:AK3"/>
    <mergeCell ref="B5:B6"/>
    <mergeCell ref="C5:C6"/>
    <mergeCell ref="D5:D6"/>
    <mergeCell ref="E5:E6"/>
    <mergeCell ref="F5:F6"/>
    <mergeCell ref="G5:G6"/>
    <mergeCell ref="H5:H6"/>
    <mergeCell ref="I5:I6"/>
    <mergeCell ref="J5:J6"/>
    <mergeCell ref="K5:K6"/>
    <mergeCell ref="L5:L6"/>
    <mergeCell ref="M5:M6"/>
    <mergeCell ref="N5:N6"/>
    <mergeCell ref="O5:R5"/>
    <mergeCell ref="S5:V5"/>
    <mergeCell ref="W5:W6"/>
    <mergeCell ref="X5:X6"/>
    <mergeCell ref="Y5:Y6"/>
    <mergeCell ref="Z5:Z6"/>
    <mergeCell ref="AA5:AA6"/>
    <mergeCell ref="AB5:AB6"/>
    <mergeCell ref="AC5:AC6"/>
    <mergeCell ref="AD5:AD6"/>
    <mergeCell ref="AE5:AE6"/>
    <mergeCell ref="AF5:AF6"/>
    <mergeCell ref="AG5:AG6"/>
    <mergeCell ref="AH5:AH6"/>
    <mergeCell ref="AI5:AI6"/>
    <mergeCell ref="AJ5:AJ6"/>
    <mergeCell ref="AK5:AK6"/>
  </mergeCells>
  <conditionalFormatting sqref="AF7:AF46">
    <cfRule type="expression" priority="2" aboveAverage="0" equalAverage="0" bottom="0" percent="0" rank="0" text="" dxfId="12">
      <formula>AND(AF7&lt;&gt;"",AF7&lt;0)</formula>
    </cfRule>
    <cfRule type="expression" priority="3" aboveAverage="0" equalAverage="0" bottom="0" percent="0" rank="0" text="" dxfId="10">
      <formula>AND(AF7&lt;&gt;"",AF7&gt;=0)</formula>
    </cfRule>
  </conditionalFormatting>
  <conditionalFormatting sqref="G7:G46">
    <cfRule type="expression" priority="4" aboveAverage="0" equalAverage="0" bottom="0" percent="0" rank="0" text="" dxfId="12">
      <formula>AND(G7="",W7&gt;0)</formula>
    </cfRule>
  </conditionalFormatting>
  <dataValidations count="3">
    <dataValidation allowBlank="true" errorStyle="stop" operator="between" showDropDown="false" showErrorMessage="false" showInputMessage="false" sqref="J7:J46" type="list">
      <formula1>"Budgetary,Non-budgetary"</formula1>
      <formula2>0</formula2>
    </dataValidation>
    <dataValidation allowBlank="true" errorStyle="stop" operator="between" showDropDown="false" showErrorMessage="false" showInputMessage="false" sqref="C7:C46" type="list">
      <formula1>'8. Activity Tracker'!$D$7:$D$93</formula1>
      <formula2>0</formula2>
    </dataValidation>
    <dataValidation allowBlank="true" errorStyle="stop" operator="between" showDropDown="false" showErrorMessage="false" showInputMessage="false" sqref="Y7:Y46 AB7:AB46"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Z23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0" topLeftCell="C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26" min="3" style="0" width="6"/>
  </cols>
  <sheetData>
    <row r="2" customFormat="false" ht="21.75" hidden="false" customHeight="true" outlineLevel="0" collapsed="false">
      <c r="B2" s="12" t="s">
        <v>1578</v>
      </c>
      <c r="C2" s="12"/>
      <c r="D2" s="12"/>
      <c r="E2" s="12"/>
      <c r="F2" s="12"/>
      <c r="G2" s="12"/>
      <c r="H2" s="12"/>
      <c r="I2" s="12"/>
      <c r="J2" s="12"/>
      <c r="K2" s="12"/>
      <c r="L2" s="12"/>
    </row>
    <row r="3" customFormat="false" ht="53.7" hidden="false" customHeight="true" outlineLevel="0" collapsed="false">
      <c r="B3" s="13" t="s">
        <v>1579</v>
      </c>
      <c r="C3" s="13"/>
      <c r="D3" s="13"/>
      <c r="E3" s="13"/>
      <c r="F3" s="13"/>
      <c r="G3" s="13"/>
      <c r="H3" s="13"/>
      <c r="I3" s="13"/>
      <c r="J3" s="13"/>
      <c r="K3" s="13"/>
      <c r="L3" s="13"/>
    </row>
    <row r="5" customFormat="false" ht="21.75" hidden="false" customHeight="true" outlineLevel="0" collapsed="false">
      <c r="B5" s="9" t="s">
        <v>1580</v>
      </c>
      <c r="C5" s="9"/>
      <c r="D5" s="9"/>
      <c r="E5" s="9"/>
      <c r="F5" s="9"/>
      <c r="G5" s="9"/>
      <c r="H5" s="9"/>
      <c r="I5" s="9"/>
      <c r="J5" s="9"/>
      <c r="K5" s="9"/>
      <c r="L5" s="9"/>
    </row>
    <row r="6" customFormat="false" ht="27.75" hidden="false" customHeight="true" outlineLevel="0" collapsed="false">
      <c r="B6" s="15" t="s">
        <v>1553</v>
      </c>
      <c r="C6" s="15" t="s">
        <v>1581</v>
      </c>
      <c r="D6" s="15" t="s">
        <v>1582</v>
      </c>
      <c r="E6" s="15" t="s">
        <v>1583</v>
      </c>
      <c r="F6" s="15" t="s">
        <v>1584</v>
      </c>
      <c r="G6" s="15" t="s">
        <v>1585</v>
      </c>
      <c r="H6" s="15" t="s">
        <v>1586</v>
      </c>
      <c r="I6" s="15" t="s">
        <v>1587</v>
      </c>
      <c r="J6" s="15" t="s">
        <v>1588</v>
      </c>
      <c r="K6" s="15" t="s">
        <v>1589</v>
      </c>
      <c r="L6" s="15" t="s">
        <v>1590</v>
      </c>
    </row>
    <row r="7" customFormat="false" ht="19.5" hidden="false" customHeight="true" outlineLevel="0" collapsed="false">
      <c r="B7" s="22" t="s">
        <v>233</v>
      </c>
      <c r="C7" s="49"/>
      <c r="D7" s="49"/>
      <c r="E7" s="49"/>
      <c r="F7" s="49"/>
      <c r="G7" s="49"/>
      <c r="H7" s="22"/>
      <c r="I7" s="22" t="str">
        <f aca="false">IFERROR(TEXT((C7+E7-G7),"0")&amp;" / "&amp;TEXT((D7+F7-H7),"0")&amp;" / "&amp;TEXT((C7+E7-G7+D7+F7-H7),"0"),"")</f>
        <v>0 / 0 / 0</v>
      </c>
      <c r="J7" s="68" t="str">
        <f aca="false">IFERROR(IF((C7+E7)=0,"",G7/(C7+E7)),"")</f>
        <v/>
      </c>
      <c r="K7" s="68" t="str">
        <f aca="false">IFERROR(IF((D7+F7)=0,"",H7/(D7+F7)),"")</f>
        <v/>
      </c>
      <c r="L7" s="68" t="str">
        <f aca="false">IFERROR(IF((C7+D7+E7+F7)=0,"",(G7+H7)/(C7+D7+E7+F7)),"")</f>
        <v/>
      </c>
    </row>
    <row r="8" customFormat="false" ht="19.5" hidden="false" customHeight="true" outlineLevel="0" collapsed="false">
      <c r="B8" s="76" t="s">
        <v>234</v>
      </c>
      <c r="C8" s="76"/>
      <c r="D8" s="76"/>
      <c r="E8" s="76"/>
      <c r="F8" s="76"/>
      <c r="G8" s="76"/>
      <c r="H8" s="76"/>
      <c r="I8" s="76" t="str">
        <f aca="false">IFERROR(TEXT((C8+E8-G8),"0")&amp;" / "&amp;TEXT((D8+F8-H8),"0")&amp;" / "&amp;TEXT((C8+E8-G8+D8+F8-H8),"0"),"")</f>
        <v>0 / 0 / 0</v>
      </c>
      <c r="J8" s="78" t="str">
        <f aca="false">IFERROR(IF((C8+E8)=0,"",G8/(C8+E8)),"")</f>
        <v/>
      </c>
      <c r="K8" s="78" t="str">
        <f aca="false">IFERROR(IF((D8+F8)=0,"",H8/(D8+F8)),"")</f>
        <v/>
      </c>
      <c r="L8" s="78" t="str">
        <f aca="false">IFERROR(IF((C8+D8+E8+F8)=0,"",(G8+H8)/(C8+D8+E8+F8)),"")</f>
        <v/>
      </c>
    </row>
    <row r="9" customFormat="false" ht="19.5" hidden="false" customHeight="true" outlineLevel="0" collapsed="false">
      <c r="B9" s="22" t="s">
        <v>235</v>
      </c>
      <c r="C9" s="49"/>
      <c r="D9" s="49"/>
      <c r="E9" s="49"/>
      <c r="F9" s="49"/>
      <c r="G9" s="49"/>
      <c r="H9" s="22"/>
      <c r="I9" s="22" t="str">
        <f aca="false">IFERROR(TEXT((C9+E9-G9),"0")&amp;" / "&amp;TEXT((D9+F9-H9),"0")&amp;" / "&amp;TEXT((C9+E9-G9+D9+F9-H9),"0"),"")</f>
        <v>0 / 0 / 0</v>
      </c>
      <c r="J9" s="68" t="str">
        <f aca="false">IFERROR(IF((C9+E9)=0,"",G9/(C9+E9)),"")</f>
        <v/>
      </c>
      <c r="K9" s="68" t="str">
        <f aca="false">IFERROR(IF((D9+F9)=0,"",H9/(D9+F9)),"")</f>
        <v/>
      </c>
      <c r="L9" s="68" t="str">
        <f aca="false">IFERROR(IF((C9+D9+E9+F9)=0,"",(G9+H9)/(C9+D9+E9+F9)),"")</f>
        <v/>
      </c>
    </row>
    <row r="10" customFormat="false" ht="19.5" hidden="false" customHeight="true" outlineLevel="0" collapsed="false">
      <c r="B10" s="76" t="s">
        <v>236</v>
      </c>
      <c r="C10" s="76"/>
      <c r="D10" s="76"/>
      <c r="E10" s="76"/>
      <c r="F10" s="76"/>
      <c r="G10" s="76"/>
      <c r="H10" s="76"/>
      <c r="I10" s="76" t="str">
        <f aca="false">IFERROR(TEXT((C10+E10-G10),"0")&amp;" / "&amp;TEXT((D10+F10-H10),"0")&amp;" / "&amp;TEXT((C10+E10-G10+D10+F10-H10),"0"),"")</f>
        <v>0 / 0 / 0</v>
      </c>
      <c r="J10" s="78" t="str">
        <f aca="false">IFERROR(IF((C10+E10)=0,"",G10/(C10+E10)),"")</f>
        <v/>
      </c>
      <c r="K10" s="78" t="str">
        <f aca="false">IFERROR(IF((D10+F10)=0,"",H10/(D10+F10)),"")</f>
        <v/>
      </c>
      <c r="L10" s="78" t="str">
        <f aca="false">IFERROR(IF((C10+D10+E10+F10)=0,"",(G10+H10)/(C10+D10+E10+F10)),"")</f>
        <v/>
      </c>
    </row>
    <row r="11" customFormat="false" ht="19.5" hidden="false" customHeight="true" outlineLevel="0" collapsed="false">
      <c r="B11" s="22" t="s">
        <v>237</v>
      </c>
      <c r="C11" s="49"/>
      <c r="D11" s="49"/>
      <c r="E11" s="49"/>
      <c r="F11" s="49"/>
      <c r="G11" s="49"/>
      <c r="H11" s="22"/>
      <c r="I11" s="22" t="str">
        <f aca="false">IFERROR(TEXT((C11+E11-G11),"0")&amp;" / "&amp;TEXT((D11+F11-H11),"0")&amp;" / "&amp;TEXT((C11+E11-G11+D11+F11-H11),"0"),"")</f>
        <v>0 / 0 / 0</v>
      </c>
      <c r="J11" s="68" t="str">
        <f aca="false">IFERROR(IF((C11+E11)=0,"",G11/(C11+E11)),"")</f>
        <v/>
      </c>
      <c r="K11" s="68" t="str">
        <f aca="false">IFERROR(IF((D11+F11)=0,"",H11/(D11+F11)),"")</f>
        <v/>
      </c>
      <c r="L11" s="68" t="str">
        <f aca="false">IFERROR(IF((C11+D11+E11+F11)=0,"",(G11+H11)/(C11+D11+E11+F11)),"")</f>
        <v/>
      </c>
    </row>
    <row r="12" customFormat="false" ht="19.5" hidden="false" customHeight="true" outlineLevel="0" collapsed="false">
      <c r="B12" s="76" t="s">
        <v>238</v>
      </c>
      <c r="C12" s="76"/>
      <c r="D12" s="76"/>
      <c r="E12" s="76"/>
      <c r="F12" s="76"/>
      <c r="G12" s="76"/>
      <c r="H12" s="76"/>
      <c r="I12" s="76" t="str">
        <f aca="false">IFERROR(TEXT((C12+E12-G12),"0")&amp;" / "&amp;TEXT((D12+F12-H12),"0")&amp;" / "&amp;TEXT((C12+E12-G12+D12+F12-H12),"0"),"")</f>
        <v>0 / 0 / 0</v>
      </c>
      <c r="J12" s="78" t="str">
        <f aca="false">IFERROR(IF((C12+E12)=0,"",G12/(C12+E12)),"")</f>
        <v/>
      </c>
      <c r="K12" s="78" t="str">
        <f aca="false">IFERROR(IF((D12+F12)=0,"",H12/(D12+F12)),"")</f>
        <v/>
      </c>
      <c r="L12" s="78" t="str">
        <f aca="false">IFERROR(IF((C12+D12+E12+F12)=0,"",(G12+H12)/(C12+D12+E12+F12)),"")</f>
        <v/>
      </c>
    </row>
    <row r="13" customFormat="false" ht="19.5" hidden="false" customHeight="true" outlineLevel="0" collapsed="false">
      <c r="B13" s="22" t="s">
        <v>239</v>
      </c>
      <c r="C13" s="49"/>
      <c r="D13" s="49"/>
      <c r="E13" s="49"/>
      <c r="F13" s="49"/>
      <c r="G13" s="49"/>
      <c r="H13" s="22"/>
      <c r="I13" s="22" t="str">
        <f aca="false">IFERROR(TEXT((C13+E13-G13),"0")&amp;" / "&amp;TEXT((D13+F13-H13),"0")&amp;" / "&amp;TEXT((C13+E13-G13+D13+F13-H13),"0"),"")</f>
        <v>0 / 0 / 0</v>
      </c>
      <c r="J13" s="68" t="str">
        <f aca="false">IFERROR(IF((C13+E13)=0,"",G13/(C13+E13)),"")</f>
        <v/>
      </c>
      <c r="K13" s="68" t="str">
        <f aca="false">IFERROR(IF((D13+F13)=0,"",H13/(D13+F13)),"")</f>
        <v/>
      </c>
      <c r="L13" s="68" t="str">
        <f aca="false">IFERROR(IF((C13+D13+E13+F13)=0,"",(G13+H13)/(C13+D13+E13+F13)),"")</f>
        <v/>
      </c>
    </row>
    <row r="14" customFormat="false" ht="19.5" hidden="false" customHeight="true" outlineLevel="0" collapsed="false">
      <c r="B14" s="76" t="s">
        <v>240</v>
      </c>
      <c r="C14" s="76"/>
      <c r="D14" s="76"/>
      <c r="E14" s="76"/>
      <c r="F14" s="76"/>
      <c r="G14" s="76"/>
      <c r="H14" s="76"/>
      <c r="I14" s="76" t="str">
        <f aca="false">IFERROR(TEXT((C14+E14-G14),"0")&amp;" / "&amp;TEXT((D14+F14-H14),"0")&amp;" / "&amp;TEXT((C14+E14-G14+D14+F14-H14),"0"),"")</f>
        <v>0 / 0 / 0</v>
      </c>
      <c r="J14" s="78" t="str">
        <f aca="false">IFERROR(IF((C14+E14)=0,"",G14/(C14+E14)),"")</f>
        <v/>
      </c>
      <c r="K14" s="78" t="str">
        <f aca="false">IFERROR(IF((D14+F14)=0,"",H14/(D14+F14)),"")</f>
        <v/>
      </c>
      <c r="L14" s="78" t="str">
        <f aca="false">IFERROR(IF((C14+D14+E14+F14)=0,"",(G14+H14)/(C14+D14+E14+F14)),"")</f>
        <v/>
      </c>
    </row>
    <row r="15" customFormat="false" ht="19.5" hidden="false" customHeight="true" outlineLevel="0" collapsed="false">
      <c r="B15" s="46" t="s">
        <v>1591</v>
      </c>
      <c r="C15" s="46" t="n">
        <f aca="false">SUM(C7:C14)</f>
        <v>0</v>
      </c>
      <c r="D15" s="46" t="n">
        <f aca="false">SUM(D7:D14)</f>
        <v>0</v>
      </c>
      <c r="E15" s="46" t="n">
        <f aca="false">SUM(E7:E14)</f>
        <v>0</v>
      </c>
      <c r="F15" s="46" t="n">
        <f aca="false">SUM(F7:F14)</f>
        <v>0</v>
      </c>
      <c r="G15" s="46" t="n">
        <f aca="false">SUM(G7:G14)</f>
        <v>0</v>
      </c>
      <c r="H15" s="46" t="n">
        <f aca="false">SUM(H7:H14)</f>
        <v>0</v>
      </c>
      <c r="I15" s="46"/>
      <c r="J15" s="46"/>
      <c r="K15" s="46"/>
      <c r="L15" s="79" t="str">
        <f aca="false">IFERROR(IF((SUM(C7:C14)+SUM(D7:D14)+SUM(E7:E14)+SUM(F7:F14))=0,"",(SUM(G7:G14)+SUM(H7:H14))/(SUM(C7:C14)+SUM(D7:D14)+SUM(E7:E14)+SUM(F7:F14))),"")</f>
        <v/>
      </c>
    </row>
    <row r="17" customFormat="false" ht="21.75" hidden="false" customHeight="true" outlineLevel="0" collapsed="false">
      <c r="B17" s="9" t="s">
        <v>439</v>
      </c>
      <c r="C17" s="9"/>
      <c r="D17" s="9"/>
      <c r="E17" s="9"/>
      <c r="F17" s="9"/>
      <c r="G17" s="9"/>
      <c r="H17" s="9"/>
      <c r="I17" s="9"/>
      <c r="J17" s="9"/>
      <c r="K17" s="9"/>
      <c r="L17" s="9"/>
    </row>
    <row r="18" customFormat="false" ht="15" hidden="false" customHeight="false" outlineLevel="0" collapsed="false">
      <c r="B18" s="80" t="s">
        <v>1592</v>
      </c>
    </row>
    <row r="19" customFormat="false" ht="27.75" hidden="false" customHeight="true" outlineLevel="0" collapsed="false">
      <c r="B19" s="15" t="s">
        <v>1553</v>
      </c>
      <c r="C19" s="15" t="s">
        <v>1593</v>
      </c>
      <c r="D19" s="15" t="s">
        <v>1594</v>
      </c>
      <c r="E19" s="15" t="s">
        <v>1595</v>
      </c>
      <c r="F19" s="15" t="s">
        <v>1596</v>
      </c>
      <c r="G19" s="15" t="s">
        <v>1597</v>
      </c>
      <c r="H19" s="15" t="s">
        <v>1598</v>
      </c>
      <c r="I19" s="15" t="s">
        <v>1587</v>
      </c>
      <c r="J19" s="15" t="s">
        <v>1588</v>
      </c>
      <c r="K19" s="15" t="s">
        <v>1589</v>
      </c>
      <c r="L19" s="15" t="s">
        <v>1590</v>
      </c>
    </row>
    <row r="20" customFormat="false" ht="19.5" hidden="false" customHeight="true" outlineLevel="0" collapsed="false">
      <c r="B20" s="22" t="s">
        <v>233</v>
      </c>
      <c r="C20" s="49"/>
      <c r="D20" s="49"/>
      <c r="E20" s="49"/>
      <c r="F20" s="49"/>
      <c r="G20" s="49"/>
      <c r="H20" s="22"/>
      <c r="I20" s="22" t="str">
        <f aca="false">IFERROR(TEXT((C20+E20-G20),"0")&amp;" / "&amp;TEXT((D20+F20-H20),"0")&amp;" / "&amp;TEXT((C20+E20-G20+D20+F20-H20),"0"),"")</f>
        <v>0 / 0 / 0</v>
      </c>
      <c r="J20" s="68" t="str">
        <f aca="false">IFERROR(IF((C20+E20)=0,"",G20/(C20+E20)),"")</f>
        <v/>
      </c>
      <c r="K20" s="68" t="str">
        <f aca="false">IFERROR(IF((D20+F20)=0,"",H20/(D20+F20)),"")</f>
        <v/>
      </c>
      <c r="L20" s="68" t="str">
        <f aca="false">IFERROR(IF((C20+D20+E20+F20)=0,"",(G20+H20)/(C20+D20+E20+F20)),"")</f>
        <v/>
      </c>
    </row>
    <row r="21" customFormat="false" ht="19.5" hidden="false" customHeight="true" outlineLevel="0" collapsed="false">
      <c r="B21" s="76" t="s">
        <v>234</v>
      </c>
      <c r="C21" s="76"/>
      <c r="D21" s="76"/>
      <c r="E21" s="76"/>
      <c r="F21" s="76"/>
      <c r="G21" s="76"/>
      <c r="H21" s="76"/>
      <c r="I21" s="76" t="str">
        <f aca="false">IFERROR(TEXT((C21+E21-G21),"0")&amp;" / "&amp;TEXT((D21+F21-H21),"0")&amp;" / "&amp;TEXT((C21+E21-G21+D21+F21-H21),"0"),"")</f>
        <v>0 / 0 / 0</v>
      </c>
      <c r="J21" s="78" t="str">
        <f aca="false">IFERROR(IF((C21+E21)=0,"",G21/(C21+E21)),"")</f>
        <v/>
      </c>
      <c r="K21" s="78" t="str">
        <f aca="false">IFERROR(IF((D21+F21)=0,"",H21/(D21+F21)),"")</f>
        <v/>
      </c>
      <c r="L21" s="78" t="str">
        <f aca="false">IFERROR(IF((C21+D21+E21+F21)=0,"",(G21+H21)/(C21+D21+E21+F21)),"")</f>
        <v/>
      </c>
    </row>
    <row r="22" customFormat="false" ht="19.5" hidden="false" customHeight="true" outlineLevel="0" collapsed="false">
      <c r="B22" s="22" t="s">
        <v>235</v>
      </c>
      <c r="C22" s="49"/>
      <c r="D22" s="49"/>
      <c r="E22" s="49"/>
      <c r="F22" s="49"/>
      <c r="G22" s="49"/>
      <c r="H22" s="22"/>
      <c r="I22" s="22" t="str">
        <f aca="false">IFERROR(TEXT((C22+E22-G22),"0")&amp;" / "&amp;TEXT((D22+F22-H22),"0")&amp;" / "&amp;TEXT((C22+E22-G22+D22+F22-H22),"0"),"")</f>
        <v>0 / 0 / 0</v>
      </c>
      <c r="J22" s="68" t="str">
        <f aca="false">IFERROR(IF((C22+E22)=0,"",G22/(C22+E22)),"")</f>
        <v/>
      </c>
      <c r="K22" s="68" t="str">
        <f aca="false">IFERROR(IF((D22+F22)=0,"",H22/(D22+F22)),"")</f>
        <v/>
      </c>
      <c r="L22" s="68" t="str">
        <f aca="false">IFERROR(IF((C22+D22+E22+F22)=0,"",(G22+H22)/(C22+D22+E22+F22)),"")</f>
        <v/>
      </c>
    </row>
    <row r="23" customFormat="false" ht="19.5" hidden="false" customHeight="true" outlineLevel="0" collapsed="false">
      <c r="B23" s="76" t="s">
        <v>236</v>
      </c>
      <c r="C23" s="76"/>
      <c r="D23" s="76"/>
      <c r="E23" s="76"/>
      <c r="F23" s="76"/>
      <c r="G23" s="76"/>
      <c r="H23" s="76"/>
      <c r="I23" s="76" t="str">
        <f aca="false">IFERROR(TEXT((C23+E23-G23),"0")&amp;" / "&amp;TEXT((D23+F23-H23),"0")&amp;" / "&amp;TEXT((C23+E23-G23+D23+F23-H23),"0"),"")</f>
        <v>0 / 0 / 0</v>
      </c>
      <c r="J23" s="78" t="str">
        <f aca="false">IFERROR(IF((C23+E23)=0,"",G23/(C23+E23)),"")</f>
        <v/>
      </c>
      <c r="K23" s="78" t="str">
        <f aca="false">IFERROR(IF((D23+F23)=0,"",H23/(D23+F23)),"")</f>
        <v/>
      </c>
      <c r="L23" s="78" t="str">
        <f aca="false">IFERROR(IF((C23+D23+E23+F23)=0,"",(G23+H23)/(C23+D23+E23+F23)),"")</f>
        <v/>
      </c>
    </row>
    <row r="24" customFormat="false" ht="19.5" hidden="false" customHeight="true" outlineLevel="0" collapsed="false">
      <c r="B24" s="22" t="s">
        <v>237</v>
      </c>
      <c r="C24" s="49"/>
      <c r="D24" s="49"/>
      <c r="E24" s="49"/>
      <c r="F24" s="49"/>
      <c r="G24" s="49"/>
      <c r="H24" s="22"/>
      <c r="I24" s="22" t="str">
        <f aca="false">IFERROR(TEXT((C24+E24-G24),"0")&amp;" / "&amp;TEXT((D24+F24-H24),"0")&amp;" / "&amp;TEXT((C24+E24-G24+D24+F24-H24),"0"),"")</f>
        <v>0 / 0 / 0</v>
      </c>
      <c r="J24" s="68" t="str">
        <f aca="false">IFERROR(IF((C24+E24)=0,"",G24/(C24+E24)),"")</f>
        <v/>
      </c>
      <c r="K24" s="68" t="str">
        <f aca="false">IFERROR(IF((D24+F24)=0,"",H24/(D24+F24)),"")</f>
        <v/>
      </c>
      <c r="L24" s="68" t="str">
        <f aca="false">IFERROR(IF((C24+D24+E24+F24)=0,"",(G24+H24)/(C24+D24+E24+F24)),"")</f>
        <v/>
      </c>
    </row>
    <row r="25" customFormat="false" ht="19.5" hidden="false" customHeight="true" outlineLevel="0" collapsed="false">
      <c r="B25" s="76" t="s">
        <v>238</v>
      </c>
      <c r="C25" s="76"/>
      <c r="D25" s="76"/>
      <c r="E25" s="76"/>
      <c r="F25" s="76"/>
      <c r="G25" s="76"/>
      <c r="H25" s="76"/>
      <c r="I25" s="76" t="str">
        <f aca="false">IFERROR(TEXT((C25+E25-G25),"0")&amp;" / "&amp;TEXT((D25+F25-H25),"0")&amp;" / "&amp;TEXT((C25+E25-G25+D25+F25-H25),"0"),"")</f>
        <v>0 / 0 / 0</v>
      </c>
      <c r="J25" s="78" t="str">
        <f aca="false">IFERROR(IF((C25+E25)=0,"",G25/(C25+E25)),"")</f>
        <v/>
      </c>
      <c r="K25" s="78" t="str">
        <f aca="false">IFERROR(IF((D25+F25)=0,"",H25/(D25+F25)),"")</f>
        <v/>
      </c>
      <c r="L25" s="78" t="str">
        <f aca="false">IFERROR(IF((C25+D25+E25+F25)=0,"",(G25+H25)/(C25+D25+E25+F25)),"")</f>
        <v/>
      </c>
    </row>
    <row r="26" customFormat="false" ht="19.5" hidden="false" customHeight="true" outlineLevel="0" collapsed="false">
      <c r="B26" s="22" t="s">
        <v>239</v>
      </c>
      <c r="C26" s="49"/>
      <c r="D26" s="49"/>
      <c r="E26" s="49"/>
      <c r="F26" s="49"/>
      <c r="G26" s="49"/>
      <c r="H26" s="22"/>
      <c r="I26" s="22" t="str">
        <f aca="false">IFERROR(TEXT((C26+E26-G26),"0")&amp;" / "&amp;TEXT((D26+F26-H26),"0")&amp;" / "&amp;TEXT((C26+E26-G26+D26+F26-H26),"0"),"")</f>
        <v>0 / 0 / 0</v>
      </c>
      <c r="J26" s="68" t="str">
        <f aca="false">IFERROR(IF((C26+E26)=0,"",G26/(C26+E26)),"")</f>
        <v/>
      </c>
      <c r="K26" s="68" t="str">
        <f aca="false">IFERROR(IF((D26+F26)=0,"",H26/(D26+F26)),"")</f>
        <v/>
      </c>
      <c r="L26" s="68" t="str">
        <f aca="false">IFERROR(IF((C26+D26+E26+F26)=0,"",(G26+H26)/(C26+D26+E26+F26)),"")</f>
        <v/>
      </c>
    </row>
    <row r="27" customFormat="false" ht="19.5" hidden="false" customHeight="true" outlineLevel="0" collapsed="false">
      <c r="B27" s="76" t="s">
        <v>240</v>
      </c>
      <c r="C27" s="76"/>
      <c r="D27" s="76"/>
      <c r="E27" s="76"/>
      <c r="F27" s="76"/>
      <c r="G27" s="76"/>
      <c r="H27" s="76"/>
      <c r="I27" s="76" t="str">
        <f aca="false">IFERROR(TEXT((C27+E27-G27),"0")&amp;" / "&amp;TEXT((D27+F27-H27),"0")&amp;" / "&amp;TEXT((C27+E27-G27+D27+F27-H27),"0"),"")</f>
        <v>0 / 0 / 0</v>
      </c>
      <c r="J27" s="78" t="str">
        <f aca="false">IFERROR(IF((C27+E27)=0,"",G27/(C27+E27)),"")</f>
        <v/>
      </c>
      <c r="K27" s="78" t="str">
        <f aca="false">IFERROR(IF((D27+F27)=0,"",H27/(D27+F27)),"")</f>
        <v/>
      </c>
      <c r="L27" s="78" t="str">
        <f aca="false">IFERROR(IF((C27+D27+E27+F27)=0,"",(G27+H27)/(C27+D27+E27+F27)),"")</f>
        <v/>
      </c>
    </row>
    <row r="28" customFormat="false" ht="19.5" hidden="false" customHeight="true" outlineLevel="0" collapsed="false">
      <c r="B28" s="46" t="s">
        <v>1591</v>
      </c>
      <c r="C28" s="46" t="n">
        <f aca="false">SUM(C20:C27)</f>
        <v>0</v>
      </c>
      <c r="D28" s="46" t="n">
        <f aca="false">SUM(D20:D27)</f>
        <v>0</v>
      </c>
      <c r="E28" s="46" t="n">
        <f aca="false">SUM(E20:E27)</f>
        <v>0</v>
      </c>
      <c r="F28" s="46" t="n">
        <f aca="false">SUM(F20:F27)</f>
        <v>0</v>
      </c>
      <c r="G28" s="46" t="n">
        <f aca="false">SUM(G20:G27)</f>
        <v>0</v>
      </c>
      <c r="H28" s="46" t="n">
        <f aca="false">SUM(H20:H27)</f>
        <v>0</v>
      </c>
      <c r="I28" s="46"/>
      <c r="J28" s="46"/>
      <c r="K28" s="46"/>
      <c r="L28" s="79" t="str">
        <f aca="false">IFERROR(IF((SUM(C20:C27)+SUM(D20:D27)+SUM(E20:E27)+SUM(F20:F27))=0,"",(SUM(G20:G27)+SUM(H20:H27))/(SUM(C20:C27)+SUM(D20:D27)+SUM(E20:E27)+SUM(F20:F27))),"")</f>
        <v/>
      </c>
    </row>
    <row r="30" customFormat="false" ht="15" hidden="false" customHeight="false" outlineLevel="0" collapsed="false">
      <c r="B30" s="80" t="s">
        <v>649</v>
      </c>
    </row>
    <row r="31" customFormat="false" ht="27.75" hidden="false" customHeight="true" outlineLevel="0" collapsed="false">
      <c r="B31" s="15" t="s">
        <v>1553</v>
      </c>
      <c r="C31" s="15" t="s">
        <v>1593</v>
      </c>
      <c r="D31" s="15" t="s">
        <v>1594</v>
      </c>
      <c r="E31" s="15" t="s">
        <v>1595</v>
      </c>
      <c r="F31" s="15" t="s">
        <v>1596</v>
      </c>
      <c r="G31" s="15" t="s">
        <v>1597</v>
      </c>
      <c r="H31" s="15" t="s">
        <v>1598</v>
      </c>
      <c r="I31" s="15" t="s">
        <v>1587</v>
      </c>
      <c r="J31" s="15" t="s">
        <v>1588</v>
      </c>
      <c r="K31" s="15" t="s">
        <v>1589</v>
      </c>
      <c r="L31" s="15" t="s">
        <v>1590</v>
      </c>
    </row>
    <row r="32" customFormat="false" ht="19.5" hidden="false" customHeight="true" outlineLevel="0" collapsed="false">
      <c r="B32" s="22" t="s">
        <v>233</v>
      </c>
      <c r="C32" s="49"/>
      <c r="D32" s="49"/>
      <c r="E32" s="49"/>
      <c r="F32" s="49"/>
      <c r="G32" s="49"/>
      <c r="H32" s="22"/>
      <c r="I32" s="22" t="str">
        <f aca="false">IFERROR(TEXT((C32+E32-G32),"0")&amp;" / "&amp;TEXT((D32+F32-H32),"0")&amp;" / "&amp;TEXT((C32+E32-G32+D32+F32-H32),"0"),"")</f>
        <v>0 / 0 / 0</v>
      </c>
      <c r="J32" s="68" t="str">
        <f aca="false">IFERROR(IF((C32+E32)=0,"",G32/(C32+E32)),"")</f>
        <v/>
      </c>
      <c r="K32" s="68" t="str">
        <f aca="false">IFERROR(IF((D32+F32)=0,"",H32/(D32+F32)),"")</f>
        <v/>
      </c>
      <c r="L32" s="68" t="str">
        <f aca="false">IFERROR(IF((C32+D32+E32+F32)=0,"",(G32+H32)/(C32+D32+E32+F32)),"")</f>
        <v/>
      </c>
    </row>
    <row r="33" customFormat="false" ht="19.5" hidden="false" customHeight="true" outlineLevel="0" collapsed="false">
      <c r="B33" s="76" t="s">
        <v>234</v>
      </c>
      <c r="C33" s="76"/>
      <c r="D33" s="76"/>
      <c r="E33" s="76"/>
      <c r="F33" s="76"/>
      <c r="G33" s="76"/>
      <c r="H33" s="76"/>
      <c r="I33" s="76" t="str">
        <f aca="false">IFERROR(TEXT((C33+E33-G33),"0")&amp;" / "&amp;TEXT((D33+F33-H33),"0")&amp;" / "&amp;TEXT((C33+E33-G33+D33+F33-H33),"0"),"")</f>
        <v>0 / 0 / 0</v>
      </c>
      <c r="J33" s="78" t="str">
        <f aca="false">IFERROR(IF((C33+E33)=0,"",G33/(C33+E33)),"")</f>
        <v/>
      </c>
      <c r="K33" s="78" t="str">
        <f aca="false">IFERROR(IF((D33+F33)=0,"",H33/(D33+F33)),"")</f>
        <v/>
      </c>
      <c r="L33" s="78" t="str">
        <f aca="false">IFERROR(IF((C33+D33+E33+F33)=0,"",(G33+H33)/(C33+D33+E33+F33)),"")</f>
        <v/>
      </c>
    </row>
    <row r="34" customFormat="false" ht="19.5" hidden="false" customHeight="true" outlineLevel="0" collapsed="false">
      <c r="B34" s="22" t="s">
        <v>235</v>
      </c>
      <c r="C34" s="49"/>
      <c r="D34" s="49"/>
      <c r="E34" s="49"/>
      <c r="F34" s="49"/>
      <c r="G34" s="49"/>
      <c r="H34" s="22"/>
      <c r="I34" s="22" t="str">
        <f aca="false">IFERROR(TEXT((C34+E34-G34),"0")&amp;" / "&amp;TEXT((D34+F34-H34),"0")&amp;" / "&amp;TEXT((C34+E34-G34+D34+F34-H34),"0"),"")</f>
        <v>0 / 0 / 0</v>
      </c>
      <c r="J34" s="68" t="str">
        <f aca="false">IFERROR(IF((C34+E34)=0,"",G34/(C34+E34)),"")</f>
        <v/>
      </c>
      <c r="K34" s="68" t="str">
        <f aca="false">IFERROR(IF((D34+F34)=0,"",H34/(D34+F34)),"")</f>
        <v/>
      </c>
      <c r="L34" s="68" t="str">
        <f aca="false">IFERROR(IF((C34+D34+E34+F34)=0,"",(G34+H34)/(C34+D34+E34+F34)),"")</f>
        <v/>
      </c>
    </row>
    <row r="35" customFormat="false" ht="19.5" hidden="false" customHeight="true" outlineLevel="0" collapsed="false">
      <c r="B35" s="76" t="s">
        <v>236</v>
      </c>
      <c r="C35" s="76"/>
      <c r="D35" s="76"/>
      <c r="E35" s="76"/>
      <c r="F35" s="76"/>
      <c r="G35" s="76"/>
      <c r="H35" s="76"/>
      <c r="I35" s="76" t="str">
        <f aca="false">IFERROR(TEXT((C35+E35-G35),"0")&amp;" / "&amp;TEXT((D35+F35-H35),"0")&amp;" / "&amp;TEXT((C35+E35-G35+D35+F35-H35),"0"),"")</f>
        <v>0 / 0 / 0</v>
      </c>
      <c r="J35" s="78" t="str">
        <f aca="false">IFERROR(IF((C35+E35)=0,"",G35/(C35+E35)),"")</f>
        <v/>
      </c>
      <c r="K35" s="78" t="str">
        <f aca="false">IFERROR(IF((D35+F35)=0,"",H35/(D35+F35)),"")</f>
        <v/>
      </c>
      <c r="L35" s="78" t="str">
        <f aca="false">IFERROR(IF((C35+D35+E35+F35)=0,"",(G35+H35)/(C35+D35+E35+F35)),"")</f>
        <v/>
      </c>
    </row>
    <row r="36" customFormat="false" ht="19.5" hidden="false" customHeight="true" outlineLevel="0" collapsed="false">
      <c r="B36" s="22" t="s">
        <v>237</v>
      </c>
      <c r="C36" s="49"/>
      <c r="D36" s="49"/>
      <c r="E36" s="49"/>
      <c r="F36" s="49"/>
      <c r="G36" s="49"/>
      <c r="H36" s="22"/>
      <c r="I36" s="22" t="str">
        <f aca="false">IFERROR(TEXT((C36+E36-G36),"0")&amp;" / "&amp;TEXT((D36+F36-H36),"0")&amp;" / "&amp;TEXT((C36+E36-G36+D36+F36-H36),"0"),"")</f>
        <v>0 / 0 / 0</v>
      </c>
      <c r="J36" s="68" t="str">
        <f aca="false">IFERROR(IF((C36+E36)=0,"",G36/(C36+E36)),"")</f>
        <v/>
      </c>
      <c r="K36" s="68" t="str">
        <f aca="false">IFERROR(IF((D36+F36)=0,"",H36/(D36+F36)),"")</f>
        <v/>
      </c>
      <c r="L36" s="68" t="str">
        <f aca="false">IFERROR(IF((C36+D36+E36+F36)=0,"",(G36+H36)/(C36+D36+E36+F36)),"")</f>
        <v/>
      </c>
    </row>
    <row r="37" customFormat="false" ht="19.5" hidden="false" customHeight="true" outlineLevel="0" collapsed="false">
      <c r="B37" s="76" t="s">
        <v>238</v>
      </c>
      <c r="C37" s="76"/>
      <c r="D37" s="76"/>
      <c r="E37" s="76"/>
      <c r="F37" s="76"/>
      <c r="G37" s="76"/>
      <c r="H37" s="76"/>
      <c r="I37" s="76" t="str">
        <f aca="false">IFERROR(TEXT((C37+E37-G37),"0")&amp;" / "&amp;TEXT((D37+F37-H37),"0")&amp;" / "&amp;TEXT((C37+E37-G37+D37+F37-H37),"0"),"")</f>
        <v>0 / 0 / 0</v>
      </c>
      <c r="J37" s="78" t="str">
        <f aca="false">IFERROR(IF((C37+E37)=0,"",G37/(C37+E37)),"")</f>
        <v/>
      </c>
      <c r="K37" s="78" t="str">
        <f aca="false">IFERROR(IF((D37+F37)=0,"",H37/(D37+F37)),"")</f>
        <v/>
      </c>
      <c r="L37" s="78" t="str">
        <f aca="false">IFERROR(IF((C37+D37+E37+F37)=0,"",(G37+H37)/(C37+D37+E37+F37)),"")</f>
        <v/>
      </c>
    </row>
    <row r="38" customFormat="false" ht="19.5" hidden="false" customHeight="true" outlineLevel="0" collapsed="false">
      <c r="B38" s="22" t="s">
        <v>239</v>
      </c>
      <c r="C38" s="49"/>
      <c r="D38" s="49"/>
      <c r="E38" s="49"/>
      <c r="F38" s="49"/>
      <c r="G38" s="49"/>
      <c r="H38" s="22"/>
      <c r="I38" s="22" t="str">
        <f aca="false">IFERROR(TEXT((C38+E38-G38),"0")&amp;" / "&amp;TEXT((D38+F38-H38),"0")&amp;" / "&amp;TEXT((C38+E38-G38+D38+F38-H38),"0"),"")</f>
        <v>0 / 0 / 0</v>
      </c>
      <c r="J38" s="68" t="str">
        <f aca="false">IFERROR(IF((C38+E38)=0,"",G38/(C38+E38)),"")</f>
        <v/>
      </c>
      <c r="K38" s="68" t="str">
        <f aca="false">IFERROR(IF((D38+F38)=0,"",H38/(D38+F38)),"")</f>
        <v/>
      </c>
      <c r="L38" s="68" t="str">
        <f aca="false">IFERROR(IF((C38+D38+E38+F38)=0,"",(G38+H38)/(C38+D38+E38+F38)),"")</f>
        <v/>
      </c>
    </row>
    <row r="39" customFormat="false" ht="19.5" hidden="false" customHeight="true" outlineLevel="0" collapsed="false">
      <c r="B39" s="76" t="s">
        <v>240</v>
      </c>
      <c r="C39" s="76"/>
      <c r="D39" s="76"/>
      <c r="E39" s="76"/>
      <c r="F39" s="76"/>
      <c r="G39" s="76"/>
      <c r="H39" s="76"/>
      <c r="I39" s="76" t="str">
        <f aca="false">IFERROR(TEXT((C39+E39-G39),"0")&amp;" / "&amp;TEXT((D39+F39-H39),"0")&amp;" / "&amp;TEXT((C39+E39-G39+D39+F39-H39),"0"),"")</f>
        <v>0 / 0 / 0</v>
      </c>
      <c r="J39" s="78" t="str">
        <f aca="false">IFERROR(IF((C39+E39)=0,"",G39/(C39+E39)),"")</f>
        <v/>
      </c>
      <c r="K39" s="78" t="str">
        <f aca="false">IFERROR(IF((D39+F39)=0,"",H39/(D39+F39)),"")</f>
        <v/>
      </c>
      <c r="L39" s="78" t="str">
        <f aca="false">IFERROR(IF((C39+D39+E39+F39)=0,"",(G39+H39)/(C39+D39+E39+F39)),"")</f>
        <v/>
      </c>
    </row>
    <row r="40" customFormat="false" ht="19.5" hidden="false" customHeight="true" outlineLevel="0" collapsed="false">
      <c r="B40" s="46" t="s">
        <v>1591</v>
      </c>
      <c r="C40" s="46" t="n">
        <f aca="false">SUM(C32:C39)</f>
        <v>0</v>
      </c>
      <c r="D40" s="46" t="n">
        <f aca="false">SUM(D32:D39)</f>
        <v>0</v>
      </c>
      <c r="E40" s="46" t="n">
        <f aca="false">SUM(E32:E39)</f>
        <v>0</v>
      </c>
      <c r="F40" s="46" t="n">
        <f aca="false">SUM(F32:F39)</f>
        <v>0</v>
      </c>
      <c r="G40" s="46" t="n">
        <f aca="false">SUM(G32:G39)</f>
        <v>0</v>
      </c>
      <c r="H40" s="46" t="n">
        <f aca="false">SUM(H32:H39)</f>
        <v>0</v>
      </c>
      <c r="I40" s="46"/>
      <c r="J40" s="46"/>
      <c r="K40" s="46"/>
      <c r="L40" s="79" t="str">
        <f aca="false">IFERROR(IF((SUM(C32:C39)+SUM(D32:D39)+SUM(E32:E39)+SUM(F32:F39))=0,"",(SUM(G32:G39)+SUM(H32:H39))/(SUM(C32:C39)+SUM(D32:D39)+SUM(E32:E39)+SUM(F32:F39))),"")</f>
        <v/>
      </c>
    </row>
    <row r="42" customFormat="false" ht="15" hidden="false" customHeight="false" outlineLevel="0" collapsed="false">
      <c r="B42" s="80" t="s">
        <v>1599</v>
      </c>
    </row>
    <row r="43" customFormat="false" ht="27.75" hidden="false" customHeight="true" outlineLevel="0" collapsed="false">
      <c r="B43" s="15" t="s">
        <v>1553</v>
      </c>
      <c r="C43" s="15" t="s">
        <v>1593</v>
      </c>
      <c r="D43" s="15" t="s">
        <v>1594</v>
      </c>
      <c r="E43" s="15" t="s">
        <v>1595</v>
      </c>
      <c r="F43" s="15" t="s">
        <v>1596</v>
      </c>
      <c r="G43" s="15" t="s">
        <v>1597</v>
      </c>
      <c r="H43" s="15" t="s">
        <v>1598</v>
      </c>
      <c r="I43" s="15" t="s">
        <v>1587</v>
      </c>
      <c r="J43" s="15" t="s">
        <v>1588</v>
      </c>
      <c r="K43" s="15" t="s">
        <v>1589</v>
      </c>
      <c r="L43" s="15" t="s">
        <v>1590</v>
      </c>
    </row>
    <row r="44" customFormat="false" ht="19.5" hidden="false" customHeight="true" outlineLevel="0" collapsed="false">
      <c r="B44" s="22" t="s">
        <v>233</v>
      </c>
      <c r="C44" s="49"/>
      <c r="D44" s="49"/>
      <c r="E44" s="49"/>
      <c r="F44" s="49"/>
      <c r="G44" s="49"/>
      <c r="H44" s="22"/>
      <c r="I44" s="22" t="str">
        <f aca="false">IFERROR(TEXT((C44+E44-G44),"0")&amp;" / "&amp;TEXT((D44+F44-H44),"0")&amp;" / "&amp;TEXT((C44+E44-G44+D44+F44-H44),"0"),"")</f>
        <v>0 / 0 / 0</v>
      </c>
      <c r="J44" s="68" t="str">
        <f aca="false">IFERROR(IF((C44+E44)=0,"",G44/(C44+E44)),"")</f>
        <v/>
      </c>
      <c r="K44" s="68" t="str">
        <f aca="false">IFERROR(IF((D44+F44)=0,"",H44/(D44+F44)),"")</f>
        <v/>
      </c>
      <c r="L44" s="68" t="str">
        <f aca="false">IFERROR(IF((C44+D44+E44+F44)=0,"",(G44+H44)/(C44+D44+E44+F44)),"")</f>
        <v/>
      </c>
    </row>
    <row r="45" customFormat="false" ht="19.5" hidden="false" customHeight="true" outlineLevel="0" collapsed="false">
      <c r="B45" s="76" t="s">
        <v>234</v>
      </c>
      <c r="C45" s="76"/>
      <c r="D45" s="76"/>
      <c r="E45" s="76"/>
      <c r="F45" s="76"/>
      <c r="G45" s="76"/>
      <c r="H45" s="76"/>
      <c r="I45" s="76" t="str">
        <f aca="false">IFERROR(TEXT((C45+E45-G45),"0")&amp;" / "&amp;TEXT((D45+F45-H45),"0")&amp;" / "&amp;TEXT((C45+E45-G45+D45+F45-H45),"0"),"")</f>
        <v>0 / 0 / 0</v>
      </c>
      <c r="J45" s="78" t="str">
        <f aca="false">IFERROR(IF((C45+E45)=0,"",G45/(C45+E45)),"")</f>
        <v/>
      </c>
      <c r="K45" s="78" t="str">
        <f aca="false">IFERROR(IF((D45+F45)=0,"",H45/(D45+F45)),"")</f>
        <v/>
      </c>
      <c r="L45" s="78" t="str">
        <f aca="false">IFERROR(IF((C45+D45+E45+F45)=0,"",(G45+H45)/(C45+D45+E45+F45)),"")</f>
        <v/>
      </c>
    </row>
    <row r="46" customFormat="false" ht="19.5" hidden="false" customHeight="true" outlineLevel="0" collapsed="false">
      <c r="B46" s="22" t="s">
        <v>235</v>
      </c>
      <c r="C46" s="49"/>
      <c r="D46" s="49"/>
      <c r="E46" s="49"/>
      <c r="F46" s="49"/>
      <c r="G46" s="49"/>
      <c r="H46" s="22"/>
      <c r="I46" s="22" t="str">
        <f aca="false">IFERROR(TEXT((C46+E46-G46),"0")&amp;" / "&amp;TEXT((D46+F46-H46),"0")&amp;" / "&amp;TEXT((C46+E46-G46+D46+F46-H46),"0"),"")</f>
        <v>0 / 0 / 0</v>
      </c>
      <c r="J46" s="68" t="str">
        <f aca="false">IFERROR(IF((C46+E46)=0,"",G46/(C46+E46)),"")</f>
        <v/>
      </c>
      <c r="K46" s="68" t="str">
        <f aca="false">IFERROR(IF((D46+F46)=0,"",H46/(D46+F46)),"")</f>
        <v/>
      </c>
      <c r="L46" s="68" t="str">
        <f aca="false">IFERROR(IF((C46+D46+E46+F46)=0,"",(G46+H46)/(C46+D46+E46+F46)),"")</f>
        <v/>
      </c>
    </row>
    <row r="47" customFormat="false" ht="19.5" hidden="false" customHeight="true" outlineLevel="0" collapsed="false">
      <c r="B47" s="76" t="s">
        <v>236</v>
      </c>
      <c r="C47" s="76"/>
      <c r="D47" s="76"/>
      <c r="E47" s="76"/>
      <c r="F47" s="76"/>
      <c r="G47" s="76"/>
      <c r="H47" s="76"/>
      <c r="I47" s="76" t="str">
        <f aca="false">IFERROR(TEXT((C47+E47-G47),"0")&amp;" / "&amp;TEXT((D47+F47-H47),"0")&amp;" / "&amp;TEXT((C47+E47-G47+D47+F47-H47),"0"),"")</f>
        <v>0 / 0 / 0</v>
      </c>
      <c r="J47" s="78" t="str">
        <f aca="false">IFERROR(IF((C47+E47)=0,"",G47/(C47+E47)),"")</f>
        <v/>
      </c>
      <c r="K47" s="78" t="str">
        <f aca="false">IFERROR(IF((D47+F47)=0,"",H47/(D47+F47)),"")</f>
        <v/>
      </c>
      <c r="L47" s="78" t="str">
        <f aca="false">IFERROR(IF((C47+D47+E47+F47)=0,"",(G47+H47)/(C47+D47+E47+F47)),"")</f>
        <v/>
      </c>
    </row>
    <row r="48" customFormat="false" ht="19.5" hidden="false" customHeight="true" outlineLevel="0" collapsed="false">
      <c r="B48" s="22" t="s">
        <v>237</v>
      </c>
      <c r="C48" s="49"/>
      <c r="D48" s="49"/>
      <c r="E48" s="49"/>
      <c r="F48" s="49"/>
      <c r="G48" s="49"/>
      <c r="H48" s="22"/>
      <c r="I48" s="22" t="str">
        <f aca="false">IFERROR(TEXT((C48+E48-G48),"0")&amp;" / "&amp;TEXT((D48+F48-H48),"0")&amp;" / "&amp;TEXT((C48+E48-G48+D48+F48-H48),"0"),"")</f>
        <v>0 / 0 / 0</v>
      </c>
      <c r="J48" s="68" t="str">
        <f aca="false">IFERROR(IF((C48+E48)=0,"",G48/(C48+E48)),"")</f>
        <v/>
      </c>
      <c r="K48" s="68" t="str">
        <f aca="false">IFERROR(IF((D48+F48)=0,"",H48/(D48+F48)),"")</f>
        <v/>
      </c>
      <c r="L48" s="68" t="str">
        <f aca="false">IFERROR(IF((C48+D48+E48+F48)=0,"",(G48+H48)/(C48+D48+E48+F48)),"")</f>
        <v/>
      </c>
    </row>
    <row r="49" customFormat="false" ht="19.5" hidden="false" customHeight="true" outlineLevel="0" collapsed="false">
      <c r="B49" s="76" t="s">
        <v>238</v>
      </c>
      <c r="C49" s="76"/>
      <c r="D49" s="76"/>
      <c r="E49" s="76"/>
      <c r="F49" s="76"/>
      <c r="G49" s="76"/>
      <c r="H49" s="76"/>
      <c r="I49" s="76" t="str">
        <f aca="false">IFERROR(TEXT((C49+E49-G49),"0")&amp;" / "&amp;TEXT((D49+F49-H49),"0")&amp;" / "&amp;TEXT((C49+E49-G49+D49+F49-H49),"0"),"")</f>
        <v>0 / 0 / 0</v>
      </c>
      <c r="J49" s="78" t="str">
        <f aca="false">IFERROR(IF((C49+E49)=0,"",G49/(C49+E49)),"")</f>
        <v/>
      </c>
      <c r="K49" s="78" t="str">
        <f aca="false">IFERROR(IF((D49+F49)=0,"",H49/(D49+F49)),"")</f>
        <v/>
      </c>
      <c r="L49" s="78" t="str">
        <f aca="false">IFERROR(IF((C49+D49+E49+F49)=0,"",(G49+H49)/(C49+D49+E49+F49)),"")</f>
        <v/>
      </c>
    </row>
    <row r="50" customFormat="false" ht="19.5" hidden="false" customHeight="true" outlineLevel="0" collapsed="false">
      <c r="B50" s="22" t="s">
        <v>239</v>
      </c>
      <c r="C50" s="49"/>
      <c r="D50" s="49"/>
      <c r="E50" s="49"/>
      <c r="F50" s="49"/>
      <c r="G50" s="49"/>
      <c r="H50" s="22"/>
      <c r="I50" s="22" t="str">
        <f aca="false">IFERROR(TEXT((C50+E50-G50),"0")&amp;" / "&amp;TEXT((D50+F50-H50),"0")&amp;" / "&amp;TEXT((C50+E50-G50+D50+F50-H50),"0"),"")</f>
        <v>0 / 0 / 0</v>
      </c>
      <c r="J50" s="68" t="str">
        <f aca="false">IFERROR(IF((C50+E50)=0,"",G50/(C50+E50)),"")</f>
        <v/>
      </c>
      <c r="K50" s="68" t="str">
        <f aca="false">IFERROR(IF((D50+F50)=0,"",H50/(D50+F50)),"")</f>
        <v/>
      </c>
      <c r="L50" s="68" t="str">
        <f aca="false">IFERROR(IF((C50+D50+E50+F50)=0,"",(G50+H50)/(C50+D50+E50+F50)),"")</f>
        <v/>
      </c>
    </row>
    <row r="51" customFormat="false" ht="19.5" hidden="false" customHeight="true" outlineLevel="0" collapsed="false">
      <c r="B51" s="76" t="s">
        <v>240</v>
      </c>
      <c r="C51" s="76"/>
      <c r="D51" s="76"/>
      <c r="E51" s="76"/>
      <c r="F51" s="76"/>
      <c r="G51" s="76"/>
      <c r="H51" s="76"/>
      <c r="I51" s="76" t="str">
        <f aca="false">IFERROR(TEXT((C51+E51-G51),"0")&amp;" / "&amp;TEXT((D51+F51-H51),"0")&amp;" / "&amp;TEXT((C51+E51-G51+D51+F51-H51),"0"),"")</f>
        <v>0 / 0 / 0</v>
      </c>
      <c r="J51" s="78" t="str">
        <f aca="false">IFERROR(IF((C51+E51)=0,"",G51/(C51+E51)),"")</f>
        <v/>
      </c>
      <c r="K51" s="78" t="str">
        <f aca="false">IFERROR(IF((D51+F51)=0,"",H51/(D51+F51)),"")</f>
        <v/>
      </c>
      <c r="L51" s="78" t="str">
        <f aca="false">IFERROR(IF((C51+D51+E51+F51)=0,"",(G51+H51)/(C51+D51+E51+F51)),"")</f>
        <v/>
      </c>
    </row>
    <row r="52" customFormat="false" ht="19.5" hidden="false" customHeight="true" outlineLevel="0" collapsed="false">
      <c r="B52" s="46" t="s">
        <v>1591</v>
      </c>
      <c r="C52" s="46" t="n">
        <f aca="false">SUM(C44:C51)</f>
        <v>0</v>
      </c>
      <c r="D52" s="46" t="n">
        <f aca="false">SUM(D44:D51)</f>
        <v>0</v>
      </c>
      <c r="E52" s="46" t="n">
        <f aca="false">SUM(E44:E51)</f>
        <v>0</v>
      </c>
      <c r="F52" s="46" t="n">
        <f aca="false">SUM(F44:F51)</f>
        <v>0</v>
      </c>
      <c r="G52" s="46" t="n">
        <f aca="false">SUM(G44:G51)</f>
        <v>0</v>
      </c>
      <c r="H52" s="46" t="n">
        <f aca="false">SUM(H44:H51)</f>
        <v>0</v>
      </c>
      <c r="I52" s="46"/>
      <c r="J52" s="46"/>
      <c r="K52" s="46"/>
      <c r="L52" s="79" t="str">
        <f aca="false">IFERROR(IF((SUM(C44:C51)+SUM(D44:D51)+SUM(E44:E51)+SUM(F44:F51))=0,"",(SUM(G44:G51)+SUM(H44:H51))/(SUM(C44:C51)+SUM(D44:D51)+SUM(E44:E51)+SUM(F44:F51))),"")</f>
        <v/>
      </c>
    </row>
    <row r="54" customFormat="false" ht="15" hidden="false" customHeight="false" outlineLevel="0" collapsed="false">
      <c r="B54" s="80" t="s">
        <v>674</v>
      </c>
    </row>
    <row r="55" customFormat="false" ht="27.75" hidden="false" customHeight="true" outlineLevel="0" collapsed="false">
      <c r="B55" s="15" t="s">
        <v>1553</v>
      </c>
      <c r="C55" s="15" t="s">
        <v>1593</v>
      </c>
      <c r="D55" s="15" t="s">
        <v>1594</v>
      </c>
      <c r="E55" s="15" t="s">
        <v>1595</v>
      </c>
      <c r="F55" s="15" t="s">
        <v>1596</v>
      </c>
      <c r="G55" s="15" t="s">
        <v>1597</v>
      </c>
      <c r="H55" s="15" t="s">
        <v>1598</v>
      </c>
      <c r="I55" s="15" t="s">
        <v>1587</v>
      </c>
      <c r="J55" s="15" t="s">
        <v>1588</v>
      </c>
      <c r="K55" s="15" t="s">
        <v>1589</v>
      </c>
      <c r="L55" s="15" t="s">
        <v>1590</v>
      </c>
    </row>
    <row r="56" customFormat="false" ht="19.5" hidden="false" customHeight="true" outlineLevel="0" collapsed="false">
      <c r="B56" s="22" t="s">
        <v>233</v>
      </c>
      <c r="C56" s="49"/>
      <c r="D56" s="49"/>
      <c r="E56" s="49"/>
      <c r="F56" s="49"/>
      <c r="G56" s="49"/>
      <c r="H56" s="22"/>
      <c r="I56" s="22" t="str">
        <f aca="false">IFERROR(TEXT((C56+E56-G56),"0")&amp;" / "&amp;TEXT((D56+F56-H56),"0")&amp;" / "&amp;TEXT((C56+E56-G56+D56+F56-H56),"0"),"")</f>
        <v>0 / 0 / 0</v>
      </c>
      <c r="J56" s="68" t="str">
        <f aca="false">IFERROR(IF((C56+E56)=0,"",G56/(C56+E56)),"")</f>
        <v/>
      </c>
      <c r="K56" s="68" t="str">
        <f aca="false">IFERROR(IF((D56+F56)=0,"",H56/(D56+F56)),"")</f>
        <v/>
      </c>
      <c r="L56" s="68" t="str">
        <f aca="false">IFERROR(IF((C56+D56+E56+F56)=0,"",(G56+H56)/(C56+D56+E56+F56)),"")</f>
        <v/>
      </c>
    </row>
    <row r="57" customFormat="false" ht="19.5" hidden="false" customHeight="true" outlineLevel="0" collapsed="false">
      <c r="B57" s="76" t="s">
        <v>234</v>
      </c>
      <c r="C57" s="76"/>
      <c r="D57" s="76"/>
      <c r="E57" s="76"/>
      <c r="F57" s="76"/>
      <c r="G57" s="76"/>
      <c r="H57" s="76"/>
      <c r="I57" s="76" t="str">
        <f aca="false">IFERROR(TEXT((C57+E57-G57),"0")&amp;" / "&amp;TEXT((D57+F57-H57),"0")&amp;" / "&amp;TEXT((C57+E57-G57+D57+F57-H57),"0"),"")</f>
        <v>0 / 0 / 0</v>
      </c>
      <c r="J57" s="78" t="str">
        <f aca="false">IFERROR(IF((C57+E57)=0,"",G57/(C57+E57)),"")</f>
        <v/>
      </c>
      <c r="K57" s="78" t="str">
        <f aca="false">IFERROR(IF((D57+F57)=0,"",H57/(D57+F57)),"")</f>
        <v/>
      </c>
      <c r="L57" s="78" t="str">
        <f aca="false">IFERROR(IF((C57+D57+E57+F57)=0,"",(G57+H57)/(C57+D57+E57+F57)),"")</f>
        <v/>
      </c>
    </row>
    <row r="58" customFormat="false" ht="19.5" hidden="false" customHeight="true" outlineLevel="0" collapsed="false">
      <c r="B58" s="22" t="s">
        <v>235</v>
      </c>
      <c r="C58" s="49"/>
      <c r="D58" s="49"/>
      <c r="E58" s="49"/>
      <c r="F58" s="49"/>
      <c r="G58" s="49"/>
      <c r="H58" s="22"/>
      <c r="I58" s="22" t="str">
        <f aca="false">IFERROR(TEXT((C58+E58-G58),"0")&amp;" / "&amp;TEXT((D58+F58-H58),"0")&amp;" / "&amp;TEXT((C58+E58-G58+D58+F58-H58),"0"),"")</f>
        <v>0 / 0 / 0</v>
      </c>
      <c r="J58" s="68" t="str">
        <f aca="false">IFERROR(IF((C58+E58)=0,"",G58/(C58+E58)),"")</f>
        <v/>
      </c>
      <c r="K58" s="68" t="str">
        <f aca="false">IFERROR(IF((D58+F58)=0,"",H58/(D58+F58)),"")</f>
        <v/>
      </c>
      <c r="L58" s="68" t="str">
        <f aca="false">IFERROR(IF((C58+D58+E58+F58)=0,"",(G58+H58)/(C58+D58+E58+F58)),"")</f>
        <v/>
      </c>
    </row>
    <row r="59" customFormat="false" ht="19.5" hidden="false" customHeight="true" outlineLevel="0" collapsed="false">
      <c r="B59" s="76" t="s">
        <v>236</v>
      </c>
      <c r="C59" s="76"/>
      <c r="D59" s="76"/>
      <c r="E59" s="76"/>
      <c r="F59" s="76"/>
      <c r="G59" s="76"/>
      <c r="H59" s="76"/>
      <c r="I59" s="76" t="str">
        <f aca="false">IFERROR(TEXT((C59+E59-G59),"0")&amp;" / "&amp;TEXT((D59+F59-H59),"0")&amp;" / "&amp;TEXT((C59+E59-G59+D59+F59-H59),"0"),"")</f>
        <v>0 / 0 / 0</v>
      </c>
      <c r="J59" s="78" t="str">
        <f aca="false">IFERROR(IF((C59+E59)=0,"",G59/(C59+E59)),"")</f>
        <v/>
      </c>
      <c r="K59" s="78" t="str">
        <f aca="false">IFERROR(IF((D59+F59)=0,"",H59/(D59+F59)),"")</f>
        <v/>
      </c>
      <c r="L59" s="78" t="str">
        <f aca="false">IFERROR(IF((C59+D59+E59+F59)=0,"",(G59+H59)/(C59+D59+E59+F59)),"")</f>
        <v/>
      </c>
    </row>
    <row r="60" customFormat="false" ht="19.5" hidden="false" customHeight="true" outlineLevel="0" collapsed="false">
      <c r="B60" s="22" t="s">
        <v>237</v>
      </c>
      <c r="C60" s="49"/>
      <c r="D60" s="49"/>
      <c r="E60" s="49"/>
      <c r="F60" s="49"/>
      <c r="G60" s="49"/>
      <c r="H60" s="22"/>
      <c r="I60" s="22" t="str">
        <f aca="false">IFERROR(TEXT((C60+E60-G60),"0")&amp;" / "&amp;TEXT((D60+F60-H60),"0")&amp;" / "&amp;TEXT((C60+E60-G60+D60+F60-H60),"0"),"")</f>
        <v>0 / 0 / 0</v>
      </c>
      <c r="J60" s="68" t="str">
        <f aca="false">IFERROR(IF((C60+E60)=0,"",G60/(C60+E60)),"")</f>
        <v/>
      </c>
      <c r="K60" s="68" t="str">
        <f aca="false">IFERROR(IF((D60+F60)=0,"",H60/(D60+F60)),"")</f>
        <v/>
      </c>
      <c r="L60" s="68" t="str">
        <f aca="false">IFERROR(IF((C60+D60+E60+F60)=0,"",(G60+H60)/(C60+D60+E60+F60)),"")</f>
        <v/>
      </c>
    </row>
    <row r="61" customFormat="false" ht="19.5" hidden="false" customHeight="true" outlineLevel="0" collapsed="false">
      <c r="B61" s="76" t="s">
        <v>238</v>
      </c>
      <c r="C61" s="76"/>
      <c r="D61" s="76"/>
      <c r="E61" s="76"/>
      <c r="F61" s="76"/>
      <c r="G61" s="76"/>
      <c r="H61" s="76"/>
      <c r="I61" s="76" t="str">
        <f aca="false">IFERROR(TEXT((C61+E61-G61),"0")&amp;" / "&amp;TEXT((D61+F61-H61),"0")&amp;" / "&amp;TEXT((C61+E61-G61+D61+F61-H61),"0"),"")</f>
        <v>0 / 0 / 0</v>
      </c>
      <c r="J61" s="78" t="str">
        <f aca="false">IFERROR(IF((C61+E61)=0,"",G61/(C61+E61)),"")</f>
        <v/>
      </c>
      <c r="K61" s="78" t="str">
        <f aca="false">IFERROR(IF((D61+F61)=0,"",H61/(D61+F61)),"")</f>
        <v/>
      </c>
      <c r="L61" s="78" t="str">
        <f aca="false">IFERROR(IF((C61+D61+E61+F61)=0,"",(G61+H61)/(C61+D61+E61+F61)),"")</f>
        <v/>
      </c>
    </row>
    <row r="62" customFormat="false" ht="19.5" hidden="false" customHeight="true" outlineLevel="0" collapsed="false">
      <c r="B62" s="22" t="s">
        <v>239</v>
      </c>
      <c r="C62" s="49"/>
      <c r="D62" s="49"/>
      <c r="E62" s="49"/>
      <c r="F62" s="49"/>
      <c r="G62" s="49"/>
      <c r="H62" s="22"/>
      <c r="I62" s="22" t="str">
        <f aca="false">IFERROR(TEXT((C62+E62-G62),"0")&amp;" / "&amp;TEXT((D62+F62-H62),"0")&amp;" / "&amp;TEXT((C62+E62-G62+D62+F62-H62),"0"),"")</f>
        <v>0 / 0 / 0</v>
      </c>
      <c r="J62" s="68" t="str">
        <f aca="false">IFERROR(IF((C62+E62)=0,"",G62/(C62+E62)),"")</f>
        <v/>
      </c>
      <c r="K62" s="68" t="str">
        <f aca="false">IFERROR(IF((D62+F62)=0,"",H62/(D62+F62)),"")</f>
        <v/>
      </c>
      <c r="L62" s="68" t="str">
        <f aca="false">IFERROR(IF((C62+D62+E62+F62)=0,"",(G62+H62)/(C62+D62+E62+F62)),"")</f>
        <v/>
      </c>
    </row>
    <row r="63" customFormat="false" ht="19.5" hidden="false" customHeight="true" outlineLevel="0" collapsed="false">
      <c r="B63" s="76" t="s">
        <v>240</v>
      </c>
      <c r="C63" s="76"/>
      <c r="D63" s="76"/>
      <c r="E63" s="76"/>
      <c r="F63" s="76"/>
      <c r="G63" s="76"/>
      <c r="H63" s="76"/>
      <c r="I63" s="76" t="str">
        <f aca="false">IFERROR(TEXT((C63+E63-G63),"0")&amp;" / "&amp;TEXT((D63+F63-H63),"0")&amp;" / "&amp;TEXT((C63+E63-G63+D63+F63-H63),"0"),"")</f>
        <v>0 / 0 / 0</v>
      </c>
      <c r="J63" s="78" t="str">
        <f aca="false">IFERROR(IF((C63+E63)=0,"",G63/(C63+E63)),"")</f>
        <v/>
      </c>
      <c r="K63" s="78" t="str">
        <f aca="false">IFERROR(IF((D63+F63)=0,"",H63/(D63+F63)),"")</f>
        <v/>
      </c>
      <c r="L63" s="78" t="str">
        <f aca="false">IFERROR(IF((C63+D63+E63+F63)=0,"",(G63+H63)/(C63+D63+E63+F63)),"")</f>
        <v/>
      </c>
    </row>
    <row r="64" customFormat="false" ht="19.5" hidden="false" customHeight="true" outlineLevel="0" collapsed="false">
      <c r="B64" s="46" t="s">
        <v>1591</v>
      </c>
      <c r="C64" s="46" t="n">
        <f aca="false">SUM(C56:C63)</f>
        <v>0</v>
      </c>
      <c r="D64" s="46" t="n">
        <f aca="false">SUM(D56:D63)</f>
        <v>0</v>
      </c>
      <c r="E64" s="46" t="n">
        <f aca="false">SUM(E56:E63)</f>
        <v>0</v>
      </c>
      <c r="F64" s="46" t="n">
        <f aca="false">SUM(F56:F63)</f>
        <v>0</v>
      </c>
      <c r="G64" s="46" t="n">
        <f aca="false">SUM(G56:G63)</f>
        <v>0</v>
      </c>
      <c r="H64" s="46" t="n">
        <f aca="false">SUM(H56:H63)</f>
        <v>0</v>
      </c>
      <c r="I64" s="46"/>
      <c r="J64" s="46"/>
      <c r="K64" s="46"/>
      <c r="L64" s="79" t="str">
        <f aca="false">IFERROR(IF((SUM(C56:C63)+SUM(D56:D63)+SUM(E56:E63)+SUM(F56:F63))=0,"",(SUM(G56:G63)+SUM(H56:H63))/(SUM(C56:C63)+SUM(D56:D63)+SUM(E56:E63)+SUM(F56:F63))),"")</f>
        <v/>
      </c>
    </row>
    <row r="66" customFormat="false" ht="15" hidden="false" customHeight="false" outlineLevel="0" collapsed="false">
      <c r="B66" s="80" t="s">
        <v>1600</v>
      </c>
    </row>
    <row r="67" customFormat="false" ht="27.75" hidden="false" customHeight="true" outlineLevel="0" collapsed="false">
      <c r="B67" s="15" t="s">
        <v>1553</v>
      </c>
      <c r="C67" s="15" t="s">
        <v>1593</v>
      </c>
      <c r="D67" s="15" t="s">
        <v>1594</v>
      </c>
      <c r="E67" s="15" t="s">
        <v>1595</v>
      </c>
      <c r="F67" s="15" t="s">
        <v>1596</v>
      </c>
      <c r="G67" s="15" t="s">
        <v>1597</v>
      </c>
      <c r="H67" s="15" t="s">
        <v>1598</v>
      </c>
      <c r="I67" s="15" t="s">
        <v>1587</v>
      </c>
      <c r="J67" s="15" t="s">
        <v>1588</v>
      </c>
      <c r="K67" s="15" t="s">
        <v>1589</v>
      </c>
      <c r="L67" s="15" t="s">
        <v>1590</v>
      </c>
    </row>
    <row r="68" customFormat="false" ht="19.5" hidden="false" customHeight="true" outlineLevel="0" collapsed="false">
      <c r="B68" s="22" t="s">
        <v>233</v>
      </c>
      <c r="C68" s="49"/>
      <c r="D68" s="49"/>
      <c r="E68" s="49"/>
      <c r="F68" s="49"/>
      <c r="G68" s="49"/>
      <c r="H68" s="22"/>
      <c r="I68" s="22" t="str">
        <f aca="false">IFERROR(TEXT((C68+E68-G68),"0")&amp;" / "&amp;TEXT((D68+F68-H68),"0")&amp;" / "&amp;TEXT((C68+E68-G68+D68+F68-H68),"0"),"")</f>
        <v>0 / 0 / 0</v>
      </c>
      <c r="J68" s="68" t="str">
        <f aca="false">IFERROR(IF((C68+E68)=0,"",G68/(C68+E68)),"")</f>
        <v/>
      </c>
      <c r="K68" s="68" t="str">
        <f aca="false">IFERROR(IF((D68+F68)=0,"",H68/(D68+F68)),"")</f>
        <v/>
      </c>
      <c r="L68" s="68" t="str">
        <f aca="false">IFERROR(IF((C68+D68+E68+F68)=0,"",(G68+H68)/(C68+D68+E68+F68)),"")</f>
        <v/>
      </c>
    </row>
    <row r="69" customFormat="false" ht="19.5" hidden="false" customHeight="true" outlineLevel="0" collapsed="false">
      <c r="B69" s="76" t="s">
        <v>234</v>
      </c>
      <c r="C69" s="76"/>
      <c r="D69" s="76"/>
      <c r="E69" s="76"/>
      <c r="F69" s="76"/>
      <c r="G69" s="76"/>
      <c r="H69" s="76"/>
      <c r="I69" s="76" t="str">
        <f aca="false">IFERROR(TEXT((C69+E69-G69),"0")&amp;" / "&amp;TEXT((D69+F69-H69),"0")&amp;" / "&amp;TEXT((C69+E69-G69+D69+F69-H69),"0"),"")</f>
        <v>0 / 0 / 0</v>
      </c>
      <c r="J69" s="78" t="str">
        <f aca="false">IFERROR(IF((C69+E69)=0,"",G69/(C69+E69)),"")</f>
        <v/>
      </c>
      <c r="K69" s="78" t="str">
        <f aca="false">IFERROR(IF((D69+F69)=0,"",H69/(D69+F69)),"")</f>
        <v/>
      </c>
      <c r="L69" s="78" t="str">
        <f aca="false">IFERROR(IF((C69+D69+E69+F69)=0,"",(G69+H69)/(C69+D69+E69+F69)),"")</f>
        <v/>
      </c>
    </row>
    <row r="70" customFormat="false" ht="19.5" hidden="false" customHeight="true" outlineLevel="0" collapsed="false">
      <c r="B70" s="22" t="s">
        <v>235</v>
      </c>
      <c r="C70" s="49"/>
      <c r="D70" s="49"/>
      <c r="E70" s="49"/>
      <c r="F70" s="49"/>
      <c r="G70" s="49"/>
      <c r="H70" s="22"/>
      <c r="I70" s="22" t="str">
        <f aca="false">IFERROR(TEXT((C70+E70-G70),"0")&amp;" / "&amp;TEXT((D70+F70-H70),"0")&amp;" / "&amp;TEXT((C70+E70-G70+D70+F70-H70),"0"),"")</f>
        <v>0 / 0 / 0</v>
      </c>
      <c r="J70" s="68" t="str">
        <f aca="false">IFERROR(IF((C70+E70)=0,"",G70/(C70+E70)),"")</f>
        <v/>
      </c>
      <c r="K70" s="68" t="str">
        <f aca="false">IFERROR(IF((D70+F70)=0,"",H70/(D70+F70)),"")</f>
        <v/>
      </c>
      <c r="L70" s="68" t="str">
        <f aca="false">IFERROR(IF((C70+D70+E70+F70)=0,"",(G70+H70)/(C70+D70+E70+F70)),"")</f>
        <v/>
      </c>
    </row>
    <row r="71" customFormat="false" ht="19.5" hidden="false" customHeight="true" outlineLevel="0" collapsed="false">
      <c r="B71" s="76" t="s">
        <v>236</v>
      </c>
      <c r="C71" s="76"/>
      <c r="D71" s="76"/>
      <c r="E71" s="76"/>
      <c r="F71" s="76"/>
      <c r="G71" s="76"/>
      <c r="H71" s="76"/>
      <c r="I71" s="76" t="str">
        <f aca="false">IFERROR(TEXT((C71+E71-G71),"0")&amp;" / "&amp;TEXT((D71+F71-H71),"0")&amp;" / "&amp;TEXT((C71+E71-G71+D71+F71-H71),"0"),"")</f>
        <v>0 / 0 / 0</v>
      </c>
      <c r="J71" s="78" t="str">
        <f aca="false">IFERROR(IF((C71+E71)=0,"",G71/(C71+E71)),"")</f>
        <v/>
      </c>
      <c r="K71" s="78" t="str">
        <f aca="false">IFERROR(IF((D71+F71)=0,"",H71/(D71+F71)),"")</f>
        <v/>
      </c>
      <c r="L71" s="78" t="str">
        <f aca="false">IFERROR(IF((C71+D71+E71+F71)=0,"",(G71+H71)/(C71+D71+E71+F71)),"")</f>
        <v/>
      </c>
    </row>
    <row r="72" customFormat="false" ht="19.5" hidden="false" customHeight="true" outlineLevel="0" collapsed="false">
      <c r="B72" s="22" t="s">
        <v>237</v>
      </c>
      <c r="C72" s="49"/>
      <c r="D72" s="49"/>
      <c r="E72" s="49"/>
      <c r="F72" s="49"/>
      <c r="G72" s="49"/>
      <c r="H72" s="22"/>
      <c r="I72" s="22" t="str">
        <f aca="false">IFERROR(TEXT((C72+E72-G72),"0")&amp;" / "&amp;TEXT((D72+F72-H72),"0")&amp;" / "&amp;TEXT((C72+E72-G72+D72+F72-H72),"0"),"")</f>
        <v>0 / 0 / 0</v>
      </c>
      <c r="J72" s="68" t="str">
        <f aca="false">IFERROR(IF((C72+E72)=0,"",G72/(C72+E72)),"")</f>
        <v/>
      </c>
      <c r="K72" s="68" t="str">
        <f aca="false">IFERROR(IF((D72+F72)=0,"",H72/(D72+F72)),"")</f>
        <v/>
      </c>
      <c r="L72" s="68" t="str">
        <f aca="false">IFERROR(IF((C72+D72+E72+F72)=0,"",(G72+H72)/(C72+D72+E72+F72)),"")</f>
        <v/>
      </c>
    </row>
    <row r="73" customFormat="false" ht="19.5" hidden="false" customHeight="true" outlineLevel="0" collapsed="false">
      <c r="B73" s="76" t="s">
        <v>238</v>
      </c>
      <c r="C73" s="76"/>
      <c r="D73" s="76"/>
      <c r="E73" s="76"/>
      <c r="F73" s="76"/>
      <c r="G73" s="76"/>
      <c r="H73" s="76"/>
      <c r="I73" s="76" t="str">
        <f aca="false">IFERROR(TEXT((C73+E73-G73),"0")&amp;" / "&amp;TEXT((D73+F73-H73),"0")&amp;" / "&amp;TEXT((C73+E73-G73+D73+F73-H73),"0"),"")</f>
        <v>0 / 0 / 0</v>
      </c>
      <c r="J73" s="78" t="str">
        <f aca="false">IFERROR(IF((C73+E73)=0,"",G73/(C73+E73)),"")</f>
        <v/>
      </c>
      <c r="K73" s="78" t="str">
        <f aca="false">IFERROR(IF((D73+F73)=0,"",H73/(D73+F73)),"")</f>
        <v/>
      </c>
      <c r="L73" s="78" t="str">
        <f aca="false">IFERROR(IF((C73+D73+E73+F73)=0,"",(G73+H73)/(C73+D73+E73+F73)),"")</f>
        <v/>
      </c>
    </row>
    <row r="74" customFormat="false" ht="19.5" hidden="false" customHeight="true" outlineLevel="0" collapsed="false">
      <c r="B74" s="22" t="s">
        <v>239</v>
      </c>
      <c r="C74" s="49"/>
      <c r="D74" s="49"/>
      <c r="E74" s="49"/>
      <c r="F74" s="49"/>
      <c r="G74" s="49"/>
      <c r="H74" s="22"/>
      <c r="I74" s="22" t="str">
        <f aca="false">IFERROR(TEXT((C74+E74-G74),"0")&amp;" / "&amp;TEXT((D74+F74-H74),"0")&amp;" / "&amp;TEXT((C74+E74-G74+D74+F74-H74),"0"),"")</f>
        <v>0 / 0 / 0</v>
      </c>
      <c r="J74" s="68" t="str">
        <f aca="false">IFERROR(IF((C74+E74)=0,"",G74/(C74+E74)),"")</f>
        <v/>
      </c>
      <c r="K74" s="68" t="str">
        <f aca="false">IFERROR(IF((D74+F74)=0,"",H74/(D74+F74)),"")</f>
        <v/>
      </c>
      <c r="L74" s="68" t="str">
        <f aca="false">IFERROR(IF((C74+D74+E74+F74)=0,"",(G74+H74)/(C74+D74+E74+F74)),"")</f>
        <v/>
      </c>
    </row>
    <row r="75" customFormat="false" ht="19.5" hidden="false" customHeight="true" outlineLevel="0" collapsed="false">
      <c r="B75" s="76" t="s">
        <v>240</v>
      </c>
      <c r="C75" s="76"/>
      <c r="D75" s="76"/>
      <c r="E75" s="76"/>
      <c r="F75" s="76"/>
      <c r="G75" s="76"/>
      <c r="H75" s="76"/>
      <c r="I75" s="76" t="str">
        <f aca="false">IFERROR(TEXT((C75+E75-G75),"0")&amp;" / "&amp;TEXT((D75+F75-H75),"0")&amp;" / "&amp;TEXT((C75+E75-G75+D75+F75-H75),"0"),"")</f>
        <v>0 / 0 / 0</v>
      </c>
      <c r="J75" s="78" t="str">
        <f aca="false">IFERROR(IF((C75+E75)=0,"",G75/(C75+E75)),"")</f>
        <v/>
      </c>
      <c r="K75" s="78" t="str">
        <f aca="false">IFERROR(IF((D75+F75)=0,"",H75/(D75+F75)),"")</f>
        <v/>
      </c>
      <c r="L75" s="78" t="str">
        <f aca="false">IFERROR(IF((C75+D75+E75+F75)=0,"",(G75+H75)/(C75+D75+E75+F75)),"")</f>
        <v/>
      </c>
    </row>
    <row r="76" customFormat="false" ht="19.5" hidden="false" customHeight="true" outlineLevel="0" collapsed="false">
      <c r="B76" s="46" t="s">
        <v>1591</v>
      </c>
      <c r="C76" s="46" t="n">
        <f aca="false">SUM(C68:C75)</f>
        <v>0</v>
      </c>
      <c r="D76" s="46" t="n">
        <f aca="false">SUM(D68:D75)</f>
        <v>0</v>
      </c>
      <c r="E76" s="46" t="n">
        <f aca="false">SUM(E68:E75)</f>
        <v>0</v>
      </c>
      <c r="F76" s="46" t="n">
        <f aca="false">SUM(F68:F75)</f>
        <v>0</v>
      </c>
      <c r="G76" s="46" t="n">
        <f aca="false">SUM(G68:G75)</f>
        <v>0</v>
      </c>
      <c r="H76" s="46" t="n">
        <f aca="false">SUM(H68:H75)</f>
        <v>0</v>
      </c>
      <c r="I76" s="46"/>
      <c r="J76" s="46"/>
      <c r="K76" s="46"/>
      <c r="L76" s="79" t="str">
        <f aca="false">IFERROR(IF((SUM(C68:C75)+SUM(D68:D75)+SUM(E68:E75)+SUM(F68:F75))=0,"",(SUM(G68:G75)+SUM(H68:H75))/(SUM(C68:C75)+SUM(D68:D75)+SUM(E68:E75)+SUM(F68:F75))),"")</f>
        <v/>
      </c>
    </row>
    <row r="78" customFormat="false" ht="15" hidden="false" customHeight="false" outlineLevel="0" collapsed="false">
      <c r="B78" s="80" t="s">
        <v>1601</v>
      </c>
    </row>
    <row r="79" customFormat="false" ht="27.75" hidden="false" customHeight="true" outlineLevel="0" collapsed="false">
      <c r="B79" s="15" t="s">
        <v>1553</v>
      </c>
      <c r="C79" s="15" t="s">
        <v>1593</v>
      </c>
      <c r="D79" s="15" t="s">
        <v>1594</v>
      </c>
      <c r="E79" s="15" t="s">
        <v>1595</v>
      </c>
      <c r="F79" s="15" t="s">
        <v>1596</v>
      </c>
      <c r="G79" s="15" t="s">
        <v>1597</v>
      </c>
      <c r="H79" s="15" t="s">
        <v>1598</v>
      </c>
      <c r="I79" s="15" t="s">
        <v>1587</v>
      </c>
      <c r="J79" s="15" t="s">
        <v>1588</v>
      </c>
      <c r="K79" s="15" t="s">
        <v>1589</v>
      </c>
      <c r="L79" s="15" t="s">
        <v>1590</v>
      </c>
    </row>
    <row r="80" customFormat="false" ht="19.5" hidden="false" customHeight="true" outlineLevel="0" collapsed="false">
      <c r="B80" s="22" t="s">
        <v>233</v>
      </c>
      <c r="C80" s="49"/>
      <c r="D80" s="49"/>
      <c r="E80" s="49"/>
      <c r="F80" s="49"/>
      <c r="G80" s="49"/>
      <c r="H80" s="22"/>
      <c r="I80" s="22" t="str">
        <f aca="false">IFERROR(TEXT((C80+E80-G80),"0")&amp;" / "&amp;TEXT((D80+F80-H80),"0")&amp;" / "&amp;TEXT((C80+E80-G80+D80+F80-H80),"0"),"")</f>
        <v>0 / 0 / 0</v>
      </c>
      <c r="J80" s="68" t="str">
        <f aca="false">IFERROR(IF((C80+E80)=0,"",G80/(C80+E80)),"")</f>
        <v/>
      </c>
      <c r="K80" s="68" t="str">
        <f aca="false">IFERROR(IF((D80+F80)=0,"",H80/(D80+F80)),"")</f>
        <v/>
      </c>
      <c r="L80" s="68" t="str">
        <f aca="false">IFERROR(IF((C80+D80+E80+F80)=0,"",(G80+H80)/(C80+D80+E80+F80)),"")</f>
        <v/>
      </c>
    </row>
    <row r="81" customFormat="false" ht="19.5" hidden="false" customHeight="true" outlineLevel="0" collapsed="false">
      <c r="B81" s="76" t="s">
        <v>234</v>
      </c>
      <c r="C81" s="76"/>
      <c r="D81" s="76"/>
      <c r="E81" s="76"/>
      <c r="F81" s="76"/>
      <c r="G81" s="76"/>
      <c r="H81" s="76"/>
      <c r="I81" s="76" t="str">
        <f aca="false">IFERROR(TEXT((C81+E81-G81),"0")&amp;" / "&amp;TEXT((D81+F81-H81),"0")&amp;" / "&amp;TEXT((C81+E81-G81+D81+F81-H81),"0"),"")</f>
        <v>0 / 0 / 0</v>
      </c>
      <c r="J81" s="78" t="str">
        <f aca="false">IFERROR(IF((C81+E81)=0,"",G81/(C81+E81)),"")</f>
        <v/>
      </c>
      <c r="K81" s="78" t="str">
        <f aca="false">IFERROR(IF((D81+F81)=0,"",H81/(D81+F81)),"")</f>
        <v/>
      </c>
      <c r="L81" s="78" t="str">
        <f aca="false">IFERROR(IF((C81+D81+E81+F81)=0,"",(G81+H81)/(C81+D81+E81+F81)),"")</f>
        <v/>
      </c>
    </row>
    <row r="82" customFormat="false" ht="19.5" hidden="false" customHeight="true" outlineLevel="0" collapsed="false">
      <c r="B82" s="22" t="s">
        <v>235</v>
      </c>
      <c r="C82" s="49"/>
      <c r="D82" s="49"/>
      <c r="E82" s="49"/>
      <c r="F82" s="49"/>
      <c r="G82" s="49"/>
      <c r="H82" s="22"/>
      <c r="I82" s="22" t="str">
        <f aca="false">IFERROR(TEXT((C82+E82-G82),"0")&amp;" / "&amp;TEXT((D82+F82-H82),"0")&amp;" / "&amp;TEXT((C82+E82-G82+D82+F82-H82),"0"),"")</f>
        <v>0 / 0 / 0</v>
      </c>
      <c r="J82" s="68" t="str">
        <f aca="false">IFERROR(IF((C82+E82)=0,"",G82/(C82+E82)),"")</f>
        <v/>
      </c>
      <c r="K82" s="68" t="str">
        <f aca="false">IFERROR(IF((D82+F82)=0,"",H82/(D82+F82)),"")</f>
        <v/>
      </c>
      <c r="L82" s="68" t="str">
        <f aca="false">IFERROR(IF((C82+D82+E82+F82)=0,"",(G82+H82)/(C82+D82+E82+F82)),"")</f>
        <v/>
      </c>
    </row>
    <row r="83" customFormat="false" ht="19.5" hidden="false" customHeight="true" outlineLevel="0" collapsed="false">
      <c r="B83" s="76" t="s">
        <v>236</v>
      </c>
      <c r="C83" s="76"/>
      <c r="D83" s="76"/>
      <c r="E83" s="76"/>
      <c r="F83" s="76"/>
      <c r="G83" s="76"/>
      <c r="H83" s="76"/>
      <c r="I83" s="76" t="str">
        <f aca="false">IFERROR(TEXT((C83+E83-G83),"0")&amp;" / "&amp;TEXT((D83+F83-H83),"0")&amp;" / "&amp;TEXT((C83+E83-G83+D83+F83-H83),"0"),"")</f>
        <v>0 / 0 / 0</v>
      </c>
      <c r="J83" s="78" t="str">
        <f aca="false">IFERROR(IF((C83+E83)=0,"",G83/(C83+E83)),"")</f>
        <v/>
      </c>
      <c r="K83" s="78" t="str">
        <f aca="false">IFERROR(IF((D83+F83)=0,"",H83/(D83+F83)),"")</f>
        <v/>
      </c>
      <c r="L83" s="78" t="str">
        <f aca="false">IFERROR(IF((C83+D83+E83+F83)=0,"",(G83+H83)/(C83+D83+E83+F83)),"")</f>
        <v/>
      </c>
    </row>
    <row r="84" customFormat="false" ht="19.5" hidden="false" customHeight="true" outlineLevel="0" collapsed="false">
      <c r="B84" s="22" t="s">
        <v>237</v>
      </c>
      <c r="C84" s="49"/>
      <c r="D84" s="49"/>
      <c r="E84" s="49"/>
      <c r="F84" s="49"/>
      <c r="G84" s="49"/>
      <c r="H84" s="22"/>
      <c r="I84" s="22" t="str">
        <f aca="false">IFERROR(TEXT((C84+E84-G84),"0")&amp;" / "&amp;TEXT((D84+F84-H84),"0")&amp;" / "&amp;TEXT((C84+E84-G84+D84+F84-H84),"0"),"")</f>
        <v>0 / 0 / 0</v>
      </c>
      <c r="J84" s="68" t="str">
        <f aca="false">IFERROR(IF((C84+E84)=0,"",G84/(C84+E84)),"")</f>
        <v/>
      </c>
      <c r="K84" s="68" t="str">
        <f aca="false">IFERROR(IF((D84+F84)=0,"",H84/(D84+F84)),"")</f>
        <v/>
      </c>
      <c r="L84" s="68" t="str">
        <f aca="false">IFERROR(IF((C84+D84+E84+F84)=0,"",(G84+H84)/(C84+D84+E84+F84)),"")</f>
        <v/>
      </c>
    </row>
    <row r="85" customFormat="false" ht="19.5" hidden="false" customHeight="true" outlineLevel="0" collapsed="false">
      <c r="B85" s="76" t="s">
        <v>238</v>
      </c>
      <c r="C85" s="76"/>
      <c r="D85" s="76"/>
      <c r="E85" s="76"/>
      <c r="F85" s="76"/>
      <c r="G85" s="76"/>
      <c r="H85" s="76"/>
      <c r="I85" s="76" t="str">
        <f aca="false">IFERROR(TEXT((C85+E85-G85),"0")&amp;" / "&amp;TEXT((D85+F85-H85),"0")&amp;" / "&amp;TEXT((C85+E85-G85+D85+F85-H85),"0"),"")</f>
        <v>0 / 0 / 0</v>
      </c>
      <c r="J85" s="78" t="str">
        <f aca="false">IFERROR(IF((C85+E85)=0,"",G85/(C85+E85)),"")</f>
        <v/>
      </c>
      <c r="K85" s="78" t="str">
        <f aca="false">IFERROR(IF((D85+F85)=0,"",H85/(D85+F85)),"")</f>
        <v/>
      </c>
      <c r="L85" s="78" t="str">
        <f aca="false">IFERROR(IF((C85+D85+E85+F85)=0,"",(G85+H85)/(C85+D85+E85+F85)),"")</f>
        <v/>
      </c>
    </row>
    <row r="86" customFormat="false" ht="19.5" hidden="false" customHeight="true" outlineLevel="0" collapsed="false">
      <c r="B86" s="22" t="s">
        <v>239</v>
      </c>
      <c r="C86" s="49"/>
      <c r="D86" s="49"/>
      <c r="E86" s="49"/>
      <c r="F86" s="49"/>
      <c r="G86" s="49"/>
      <c r="H86" s="22"/>
      <c r="I86" s="22" t="str">
        <f aca="false">IFERROR(TEXT((C86+E86-G86),"0")&amp;" / "&amp;TEXT((D86+F86-H86),"0")&amp;" / "&amp;TEXT((C86+E86-G86+D86+F86-H86),"0"),"")</f>
        <v>0 / 0 / 0</v>
      </c>
      <c r="J86" s="68" t="str">
        <f aca="false">IFERROR(IF((C86+E86)=0,"",G86/(C86+E86)),"")</f>
        <v/>
      </c>
      <c r="K86" s="68" t="str">
        <f aca="false">IFERROR(IF((D86+F86)=0,"",H86/(D86+F86)),"")</f>
        <v/>
      </c>
      <c r="L86" s="68" t="str">
        <f aca="false">IFERROR(IF((C86+D86+E86+F86)=0,"",(G86+H86)/(C86+D86+E86+F86)),"")</f>
        <v/>
      </c>
    </row>
    <row r="87" customFormat="false" ht="19.5" hidden="false" customHeight="true" outlineLevel="0" collapsed="false">
      <c r="B87" s="76" t="s">
        <v>240</v>
      </c>
      <c r="C87" s="76"/>
      <c r="D87" s="76"/>
      <c r="E87" s="76"/>
      <c r="F87" s="76"/>
      <c r="G87" s="76"/>
      <c r="H87" s="76"/>
      <c r="I87" s="76" t="str">
        <f aca="false">IFERROR(TEXT((C87+E87-G87),"0")&amp;" / "&amp;TEXT((D87+F87-H87),"0")&amp;" / "&amp;TEXT((C87+E87-G87+D87+F87-H87),"0"),"")</f>
        <v>0 / 0 / 0</v>
      </c>
      <c r="J87" s="78" t="str">
        <f aca="false">IFERROR(IF((C87+E87)=0,"",G87/(C87+E87)),"")</f>
        <v/>
      </c>
      <c r="K87" s="78" t="str">
        <f aca="false">IFERROR(IF((D87+F87)=0,"",H87/(D87+F87)),"")</f>
        <v/>
      </c>
      <c r="L87" s="78" t="str">
        <f aca="false">IFERROR(IF((C87+D87+E87+F87)=0,"",(G87+H87)/(C87+D87+E87+F87)),"")</f>
        <v/>
      </c>
    </row>
    <row r="88" customFormat="false" ht="19.5" hidden="false" customHeight="true" outlineLevel="0" collapsed="false">
      <c r="B88" s="46" t="s">
        <v>1591</v>
      </c>
      <c r="C88" s="46" t="n">
        <f aca="false">SUM(C80:C87)</f>
        <v>0</v>
      </c>
      <c r="D88" s="46" t="n">
        <f aca="false">SUM(D80:D87)</f>
        <v>0</v>
      </c>
      <c r="E88" s="46" t="n">
        <f aca="false">SUM(E80:E87)</f>
        <v>0</v>
      </c>
      <c r="F88" s="46" t="n">
        <f aca="false">SUM(F80:F87)</f>
        <v>0</v>
      </c>
      <c r="G88" s="46" t="n">
        <f aca="false">SUM(G80:G87)</f>
        <v>0</v>
      </c>
      <c r="H88" s="46" t="n">
        <f aca="false">SUM(H80:H87)</f>
        <v>0</v>
      </c>
      <c r="I88" s="46"/>
      <c r="J88" s="46"/>
      <c r="K88" s="46"/>
      <c r="L88" s="79" t="str">
        <f aca="false">IFERROR(IF((SUM(C80:C87)+SUM(D80:D87)+SUM(E80:E87)+SUM(F80:F87))=0,"",(SUM(G80:G87)+SUM(H80:H87))/(SUM(C80:C87)+SUM(D80:D87)+SUM(E80:E87)+SUM(F80:F87))),"")</f>
        <v/>
      </c>
    </row>
    <row r="90" customFormat="false" ht="15" hidden="false" customHeight="false" outlineLevel="0" collapsed="false">
      <c r="B90" s="80" t="s">
        <v>1602</v>
      </c>
    </row>
    <row r="91" customFormat="false" ht="27.75" hidden="false" customHeight="true" outlineLevel="0" collapsed="false">
      <c r="B91" s="15" t="s">
        <v>1553</v>
      </c>
      <c r="C91" s="15" t="s">
        <v>1593</v>
      </c>
      <c r="D91" s="15" t="s">
        <v>1594</v>
      </c>
      <c r="E91" s="15" t="s">
        <v>1595</v>
      </c>
      <c r="F91" s="15" t="s">
        <v>1596</v>
      </c>
      <c r="G91" s="15" t="s">
        <v>1597</v>
      </c>
      <c r="H91" s="15" t="s">
        <v>1598</v>
      </c>
      <c r="I91" s="15" t="s">
        <v>1587</v>
      </c>
      <c r="J91" s="15" t="s">
        <v>1588</v>
      </c>
      <c r="K91" s="15" t="s">
        <v>1589</v>
      </c>
      <c r="L91" s="15" t="s">
        <v>1590</v>
      </c>
    </row>
    <row r="92" customFormat="false" ht="19.5" hidden="false" customHeight="true" outlineLevel="0" collapsed="false">
      <c r="B92" s="22" t="s">
        <v>233</v>
      </c>
      <c r="C92" s="49"/>
      <c r="D92" s="49"/>
      <c r="E92" s="49"/>
      <c r="F92" s="49"/>
      <c r="G92" s="49"/>
      <c r="H92" s="22"/>
      <c r="I92" s="22" t="str">
        <f aca="false">IFERROR(TEXT((C92+E92-G92),"0")&amp;" / "&amp;TEXT((D92+F92-H92),"0")&amp;" / "&amp;TEXT((C92+E92-G92+D92+F92-H92),"0"),"")</f>
        <v>0 / 0 / 0</v>
      </c>
      <c r="J92" s="68" t="str">
        <f aca="false">IFERROR(IF((C92+E92)=0,"",G92/(C92+E92)),"")</f>
        <v/>
      </c>
      <c r="K92" s="68" t="str">
        <f aca="false">IFERROR(IF((D92+F92)=0,"",H92/(D92+F92)),"")</f>
        <v/>
      </c>
      <c r="L92" s="68" t="str">
        <f aca="false">IFERROR(IF((C92+D92+E92+F92)=0,"",(G92+H92)/(C92+D92+E92+F92)),"")</f>
        <v/>
      </c>
    </row>
    <row r="93" customFormat="false" ht="19.5" hidden="false" customHeight="true" outlineLevel="0" collapsed="false">
      <c r="B93" s="76" t="s">
        <v>234</v>
      </c>
      <c r="C93" s="76"/>
      <c r="D93" s="76"/>
      <c r="E93" s="76"/>
      <c r="F93" s="76"/>
      <c r="G93" s="76"/>
      <c r="H93" s="76"/>
      <c r="I93" s="76" t="str">
        <f aca="false">IFERROR(TEXT((C93+E93-G93),"0")&amp;" / "&amp;TEXT((D93+F93-H93),"0")&amp;" / "&amp;TEXT((C93+E93-G93+D93+F93-H93),"0"),"")</f>
        <v>0 / 0 / 0</v>
      </c>
      <c r="J93" s="78" t="str">
        <f aca="false">IFERROR(IF((C93+E93)=0,"",G93/(C93+E93)),"")</f>
        <v/>
      </c>
      <c r="K93" s="78" t="str">
        <f aca="false">IFERROR(IF((D93+F93)=0,"",H93/(D93+F93)),"")</f>
        <v/>
      </c>
      <c r="L93" s="78" t="str">
        <f aca="false">IFERROR(IF((C93+D93+E93+F93)=0,"",(G93+H93)/(C93+D93+E93+F93)),"")</f>
        <v/>
      </c>
    </row>
    <row r="94" customFormat="false" ht="19.5" hidden="false" customHeight="true" outlineLevel="0" collapsed="false">
      <c r="B94" s="22" t="s">
        <v>235</v>
      </c>
      <c r="C94" s="49"/>
      <c r="D94" s="49"/>
      <c r="E94" s="49"/>
      <c r="F94" s="49"/>
      <c r="G94" s="49"/>
      <c r="H94" s="22"/>
      <c r="I94" s="22" t="str">
        <f aca="false">IFERROR(TEXT((C94+E94-G94),"0")&amp;" / "&amp;TEXT((D94+F94-H94),"0")&amp;" / "&amp;TEXT((C94+E94-G94+D94+F94-H94),"0"),"")</f>
        <v>0 / 0 / 0</v>
      </c>
      <c r="J94" s="68" t="str">
        <f aca="false">IFERROR(IF((C94+E94)=0,"",G94/(C94+E94)),"")</f>
        <v/>
      </c>
      <c r="K94" s="68" t="str">
        <f aca="false">IFERROR(IF((D94+F94)=0,"",H94/(D94+F94)),"")</f>
        <v/>
      </c>
      <c r="L94" s="68" t="str">
        <f aca="false">IFERROR(IF((C94+D94+E94+F94)=0,"",(G94+H94)/(C94+D94+E94+F94)),"")</f>
        <v/>
      </c>
    </row>
    <row r="95" customFormat="false" ht="19.5" hidden="false" customHeight="true" outlineLevel="0" collapsed="false">
      <c r="B95" s="76" t="s">
        <v>236</v>
      </c>
      <c r="C95" s="76"/>
      <c r="D95" s="76"/>
      <c r="E95" s="76"/>
      <c r="F95" s="76"/>
      <c r="G95" s="76"/>
      <c r="H95" s="76"/>
      <c r="I95" s="76" t="str">
        <f aca="false">IFERROR(TEXT((C95+E95-G95),"0")&amp;" / "&amp;TEXT((D95+F95-H95),"0")&amp;" / "&amp;TEXT((C95+E95-G95+D95+F95-H95),"0"),"")</f>
        <v>0 / 0 / 0</v>
      </c>
      <c r="J95" s="78" t="str">
        <f aca="false">IFERROR(IF((C95+E95)=0,"",G95/(C95+E95)),"")</f>
        <v/>
      </c>
      <c r="K95" s="78" t="str">
        <f aca="false">IFERROR(IF((D95+F95)=0,"",H95/(D95+F95)),"")</f>
        <v/>
      </c>
      <c r="L95" s="78" t="str">
        <f aca="false">IFERROR(IF((C95+D95+E95+F95)=0,"",(G95+H95)/(C95+D95+E95+F95)),"")</f>
        <v/>
      </c>
    </row>
    <row r="96" customFormat="false" ht="19.5" hidden="false" customHeight="true" outlineLevel="0" collapsed="false">
      <c r="B96" s="22" t="s">
        <v>237</v>
      </c>
      <c r="C96" s="49"/>
      <c r="D96" s="49"/>
      <c r="E96" s="49"/>
      <c r="F96" s="49"/>
      <c r="G96" s="49"/>
      <c r="H96" s="22"/>
      <c r="I96" s="22" t="str">
        <f aca="false">IFERROR(TEXT((C96+E96-G96),"0")&amp;" / "&amp;TEXT((D96+F96-H96),"0")&amp;" / "&amp;TEXT((C96+E96-G96+D96+F96-H96),"0"),"")</f>
        <v>0 / 0 / 0</v>
      </c>
      <c r="J96" s="68" t="str">
        <f aca="false">IFERROR(IF((C96+E96)=0,"",G96/(C96+E96)),"")</f>
        <v/>
      </c>
      <c r="K96" s="68" t="str">
        <f aca="false">IFERROR(IF((D96+F96)=0,"",H96/(D96+F96)),"")</f>
        <v/>
      </c>
      <c r="L96" s="68" t="str">
        <f aca="false">IFERROR(IF((C96+D96+E96+F96)=0,"",(G96+H96)/(C96+D96+E96+F96)),"")</f>
        <v/>
      </c>
    </row>
    <row r="97" customFormat="false" ht="19.5" hidden="false" customHeight="true" outlineLevel="0" collapsed="false">
      <c r="B97" s="76" t="s">
        <v>238</v>
      </c>
      <c r="C97" s="76"/>
      <c r="D97" s="76"/>
      <c r="E97" s="76"/>
      <c r="F97" s="76"/>
      <c r="G97" s="76"/>
      <c r="H97" s="76"/>
      <c r="I97" s="76" t="str">
        <f aca="false">IFERROR(TEXT((C97+E97-G97),"0")&amp;" / "&amp;TEXT((D97+F97-H97),"0")&amp;" / "&amp;TEXT((C97+E97-G97+D97+F97-H97),"0"),"")</f>
        <v>0 / 0 / 0</v>
      </c>
      <c r="J97" s="78" t="str">
        <f aca="false">IFERROR(IF((C97+E97)=0,"",G97/(C97+E97)),"")</f>
        <v/>
      </c>
      <c r="K97" s="78" t="str">
        <f aca="false">IFERROR(IF((D97+F97)=0,"",H97/(D97+F97)),"")</f>
        <v/>
      </c>
      <c r="L97" s="78" t="str">
        <f aca="false">IFERROR(IF((C97+D97+E97+F97)=0,"",(G97+H97)/(C97+D97+E97+F97)),"")</f>
        <v/>
      </c>
    </row>
    <row r="98" customFormat="false" ht="19.5" hidden="false" customHeight="true" outlineLevel="0" collapsed="false">
      <c r="B98" s="22" t="s">
        <v>239</v>
      </c>
      <c r="C98" s="49"/>
      <c r="D98" s="49"/>
      <c r="E98" s="49"/>
      <c r="F98" s="49"/>
      <c r="G98" s="49"/>
      <c r="H98" s="22"/>
      <c r="I98" s="22" t="str">
        <f aca="false">IFERROR(TEXT((C98+E98-G98),"0")&amp;" / "&amp;TEXT((D98+F98-H98),"0")&amp;" / "&amp;TEXT((C98+E98-G98+D98+F98-H98),"0"),"")</f>
        <v>0 / 0 / 0</v>
      </c>
      <c r="J98" s="68" t="str">
        <f aca="false">IFERROR(IF((C98+E98)=0,"",G98/(C98+E98)),"")</f>
        <v/>
      </c>
      <c r="K98" s="68" t="str">
        <f aca="false">IFERROR(IF((D98+F98)=0,"",H98/(D98+F98)),"")</f>
        <v/>
      </c>
      <c r="L98" s="68" t="str">
        <f aca="false">IFERROR(IF((C98+D98+E98+F98)=0,"",(G98+H98)/(C98+D98+E98+F98)),"")</f>
        <v/>
      </c>
    </row>
    <row r="99" customFormat="false" ht="19.5" hidden="false" customHeight="true" outlineLevel="0" collapsed="false">
      <c r="B99" s="76" t="s">
        <v>240</v>
      </c>
      <c r="C99" s="76"/>
      <c r="D99" s="76"/>
      <c r="E99" s="76"/>
      <c r="F99" s="76"/>
      <c r="G99" s="76"/>
      <c r="H99" s="76"/>
      <c r="I99" s="76" t="str">
        <f aca="false">IFERROR(TEXT((C99+E99-G99),"0")&amp;" / "&amp;TEXT((D99+F99-H99),"0")&amp;" / "&amp;TEXT((C99+E99-G99+D99+F99-H99),"0"),"")</f>
        <v>0 / 0 / 0</v>
      </c>
      <c r="J99" s="78" t="str">
        <f aca="false">IFERROR(IF((C99+E99)=0,"",G99/(C99+E99)),"")</f>
        <v/>
      </c>
      <c r="K99" s="78" t="str">
        <f aca="false">IFERROR(IF((D99+F99)=0,"",H99/(D99+F99)),"")</f>
        <v/>
      </c>
      <c r="L99" s="78" t="str">
        <f aca="false">IFERROR(IF((C99+D99+E99+F99)=0,"",(G99+H99)/(C99+D99+E99+F99)),"")</f>
        <v/>
      </c>
    </row>
    <row r="100" customFormat="false" ht="19.5" hidden="false" customHeight="true" outlineLevel="0" collapsed="false">
      <c r="B100" s="46" t="s">
        <v>1591</v>
      </c>
      <c r="C100" s="46" t="n">
        <f aca="false">SUM(C92:C99)</f>
        <v>0</v>
      </c>
      <c r="D100" s="46" t="n">
        <f aca="false">SUM(D92:D99)</f>
        <v>0</v>
      </c>
      <c r="E100" s="46" t="n">
        <f aca="false">SUM(E92:E99)</f>
        <v>0</v>
      </c>
      <c r="F100" s="46" t="n">
        <f aca="false">SUM(F92:F99)</f>
        <v>0</v>
      </c>
      <c r="G100" s="46" t="n">
        <f aca="false">SUM(G92:G99)</f>
        <v>0</v>
      </c>
      <c r="H100" s="46" t="n">
        <f aca="false">SUM(H92:H99)</f>
        <v>0</v>
      </c>
      <c r="I100" s="46"/>
      <c r="J100" s="46"/>
      <c r="K100" s="46"/>
      <c r="L100" s="79" t="str">
        <f aca="false">IFERROR(IF((SUM(C92:C99)+SUM(D92:D99)+SUM(E92:E99)+SUM(F92:F99))=0,"",(SUM(G92:G99)+SUM(H92:H99))/(SUM(C92:C99)+SUM(D92:D99)+SUM(E92:E99)+SUM(F92:F99))),"")</f>
        <v/>
      </c>
    </row>
    <row r="102" customFormat="false" ht="15" hidden="false" customHeight="false" outlineLevel="0" collapsed="false">
      <c r="B102" s="80" t="s">
        <v>1603</v>
      </c>
    </row>
    <row r="103" customFormat="false" ht="27.75" hidden="false" customHeight="true" outlineLevel="0" collapsed="false">
      <c r="B103" s="15" t="s">
        <v>1553</v>
      </c>
      <c r="C103" s="15" t="s">
        <v>1593</v>
      </c>
      <c r="D103" s="15" t="s">
        <v>1594</v>
      </c>
      <c r="E103" s="15" t="s">
        <v>1595</v>
      </c>
      <c r="F103" s="15" t="s">
        <v>1596</v>
      </c>
      <c r="G103" s="15" t="s">
        <v>1597</v>
      </c>
      <c r="H103" s="15" t="s">
        <v>1598</v>
      </c>
      <c r="I103" s="15" t="s">
        <v>1587</v>
      </c>
      <c r="J103" s="15" t="s">
        <v>1588</v>
      </c>
      <c r="K103" s="15" t="s">
        <v>1589</v>
      </c>
      <c r="L103" s="15" t="s">
        <v>1590</v>
      </c>
    </row>
    <row r="104" customFormat="false" ht="19.5" hidden="false" customHeight="true" outlineLevel="0" collapsed="false">
      <c r="B104" s="22" t="s">
        <v>233</v>
      </c>
      <c r="C104" s="49"/>
      <c r="D104" s="49"/>
      <c r="E104" s="49"/>
      <c r="F104" s="49"/>
      <c r="G104" s="49"/>
      <c r="H104" s="22"/>
      <c r="I104" s="22" t="str">
        <f aca="false">IFERROR(TEXT((C104+E104-G104),"0")&amp;" / "&amp;TEXT((D104+F104-H104),"0")&amp;" / "&amp;TEXT((C104+E104-G104+D104+F104-H104),"0"),"")</f>
        <v>0 / 0 / 0</v>
      </c>
      <c r="J104" s="68" t="str">
        <f aca="false">IFERROR(IF((C104+E104)=0,"",G104/(C104+E104)),"")</f>
        <v/>
      </c>
      <c r="K104" s="68" t="str">
        <f aca="false">IFERROR(IF((D104+F104)=0,"",H104/(D104+F104)),"")</f>
        <v/>
      </c>
      <c r="L104" s="68" t="str">
        <f aca="false">IFERROR(IF((C104+D104+E104+F104)=0,"",(G104+H104)/(C104+D104+E104+F104)),"")</f>
        <v/>
      </c>
    </row>
    <row r="105" customFormat="false" ht="19.5" hidden="false" customHeight="true" outlineLevel="0" collapsed="false">
      <c r="B105" s="76" t="s">
        <v>234</v>
      </c>
      <c r="C105" s="76"/>
      <c r="D105" s="76"/>
      <c r="E105" s="76"/>
      <c r="F105" s="76"/>
      <c r="G105" s="76"/>
      <c r="H105" s="76"/>
      <c r="I105" s="76" t="str">
        <f aca="false">IFERROR(TEXT((C105+E105-G105),"0")&amp;" / "&amp;TEXT((D105+F105-H105),"0")&amp;" / "&amp;TEXT((C105+E105-G105+D105+F105-H105),"0"),"")</f>
        <v>0 / 0 / 0</v>
      </c>
      <c r="J105" s="78" t="str">
        <f aca="false">IFERROR(IF((C105+E105)=0,"",G105/(C105+E105)),"")</f>
        <v/>
      </c>
      <c r="K105" s="78" t="str">
        <f aca="false">IFERROR(IF((D105+F105)=0,"",H105/(D105+F105)),"")</f>
        <v/>
      </c>
      <c r="L105" s="78" t="str">
        <f aca="false">IFERROR(IF((C105+D105+E105+F105)=0,"",(G105+H105)/(C105+D105+E105+F105)),"")</f>
        <v/>
      </c>
    </row>
    <row r="106" customFormat="false" ht="19.5" hidden="false" customHeight="true" outlineLevel="0" collapsed="false">
      <c r="B106" s="22" t="s">
        <v>235</v>
      </c>
      <c r="C106" s="49"/>
      <c r="D106" s="49"/>
      <c r="E106" s="49"/>
      <c r="F106" s="49"/>
      <c r="G106" s="49"/>
      <c r="H106" s="22"/>
      <c r="I106" s="22" t="str">
        <f aca="false">IFERROR(TEXT((C106+E106-G106),"0")&amp;" / "&amp;TEXT((D106+F106-H106),"0")&amp;" / "&amp;TEXT((C106+E106-G106+D106+F106-H106),"0"),"")</f>
        <v>0 / 0 / 0</v>
      </c>
      <c r="J106" s="68" t="str">
        <f aca="false">IFERROR(IF((C106+E106)=0,"",G106/(C106+E106)),"")</f>
        <v/>
      </c>
      <c r="K106" s="68" t="str">
        <f aca="false">IFERROR(IF((D106+F106)=0,"",H106/(D106+F106)),"")</f>
        <v/>
      </c>
      <c r="L106" s="68" t="str">
        <f aca="false">IFERROR(IF((C106+D106+E106+F106)=0,"",(G106+H106)/(C106+D106+E106+F106)),"")</f>
        <v/>
      </c>
    </row>
    <row r="107" customFormat="false" ht="19.5" hidden="false" customHeight="true" outlineLevel="0" collapsed="false">
      <c r="B107" s="76" t="s">
        <v>236</v>
      </c>
      <c r="C107" s="76"/>
      <c r="D107" s="76"/>
      <c r="E107" s="76"/>
      <c r="F107" s="76"/>
      <c r="G107" s="76"/>
      <c r="H107" s="76"/>
      <c r="I107" s="76" t="str">
        <f aca="false">IFERROR(TEXT((C107+E107-G107),"0")&amp;" / "&amp;TEXT((D107+F107-H107),"0")&amp;" / "&amp;TEXT((C107+E107-G107+D107+F107-H107),"0"),"")</f>
        <v>0 / 0 / 0</v>
      </c>
      <c r="J107" s="78" t="str">
        <f aca="false">IFERROR(IF((C107+E107)=0,"",G107/(C107+E107)),"")</f>
        <v/>
      </c>
      <c r="K107" s="78" t="str">
        <f aca="false">IFERROR(IF((D107+F107)=0,"",H107/(D107+F107)),"")</f>
        <v/>
      </c>
      <c r="L107" s="78" t="str">
        <f aca="false">IFERROR(IF((C107+D107+E107+F107)=0,"",(G107+H107)/(C107+D107+E107+F107)),"")</f>
        <v/>
      </c>
    </row>
    <row r="108" customFormat="false" ht="19.5" hidden="false" customHeight="true" outlineLevel="0" collapsed="false">
      <c r="B108" s="22" t="s">
        <v>237</v>
      </c>
      <c r="C108" s="49"/>
      <c r="D108" s="49"/>
      <c r="E108" s="49"/>
      <c r="F108" s="49"/>
      <c r="G108" s="49"/>
      <c r="H108" s="22"/>
      <c r="I108" s="22" t="str">
        <f aca="false">IFERROR(TEXT((C108+E108-G108),"0")&amp;" / "&amp;TEXT((D108+F108-H108),"0")&amp;" / "&amp;TEXT((C108+E108-G108+D108+F108-H108),"0"),"")</f>
        <v>0 / 0 / 0</v>
      </c>
      <c r="J108" s="68" t="str">
        <f aca="false">IFERROR(IF((C108+E108)=0,"",G108/(C108+E108)),"")</f>
        <v/>
      </c>
      <c r="K108" s="68" t="str">
        <f aca="false">IFERROR(IF((D108+F108)=0,"",H108/(D108+F108)),"")</f>
        <v/>
      </c>
      <c r="L108" s="68" t="str">
        <f aca="false">IFERROR(IF((C108+D108+E108+F108)=0,"",(G108+H108)/(C108+D108+E108+F108)),"")</f>
        <v/>
      </c>
    </row>
    <row r="109" customFormat="false" ht="19.5" hidden="false" customHeight="true" outlineLevel="0" collapsed="false">
      <c r="B109" s="76" t="s">
        <v>238</v>
      </c>
      <c r="C109" s="76"/>
      <c r="D109" s="76"/>
      <c r="E109" s="76"/>
      <c r="F109" s="76"/>
      <c r="G109" s="76"/>
      <c r="H109" s="76"/>
      <c r="I109" s="76" t="str">
        <f aca="false">IFERROR(TEXT((C109+E109-G109),"0")&amp;" / "&amp;TEXT((D109+F109-H109),"0")&amp;" / "&amp;TEXT((C109+E109-G109+D109+F109-H109),"0"),"")</f>
        <v>0 / 0 / 0</v>
      </c>
      <c r="J109" s="78" t="str">
        <f aca="false">IFERROR(IF((C109+E109)=0,"",G109/(C109+E109)),"")</f>
        <v/>
      </c>
      <c r="K109" s="78" t="str">
        <f aca="false">IFERROR(IF((D109+F109)=0,"",H109/(D109+F109)),"")</f>
        <v/>
      </c>
      <c r="L109" s="78" t="str">
        <f aca="false">IFERROR(IF((C109+D109+E109+F109)=0,"",(G109+H109)/(C109+D109+E109+F109)),"")</f>
        <v/>
      </c>
    </row>
    <row r="110" customFormat="false" ht="19.5" hidden="false" customHeight="true" outlineLevel="0" collapsed="false">
      <c r="B110" s="22" t="s">
        <v>239</v>
      </c>
      <c r="C110" s="49"/>
      <c r="D110" s="49"/>
      <c r="E110" s="49"/>
      <c r="F110" s="49"/>
      <c r="G110" s="49"/>
      <c r="H110" s="22"/>
      <c r="I110" s="22" t="str">
        <f aca="false">IFERROR(TEXT((C110+E110-G110),"0")&amp;" / "&amp;TEXT((D110+F110-H110),"0")&amp;" / "&amp;TEXT((C110+E110-G110+D110+F110-H110),"0"),"")</f>
        <v>0 / 0 / 0</v>
      </c>
      <c r="J110" s="68" t="str">
        <f aca="false">IFERROR(IF((C110+E110)=0,"",G110/(C110+E110)),"")</f>
        <v/>
      </c>
      <c r="K110" s="68" t="str">
        <f aca="false">IFERROR(IF((D110+F110)=0,"",H110/(D110+F110)),"")</f>
        <v/>
      </c>
      <c r="L110" s="68" t="str">
        <f aca="false">IFERROR(IF((C110+D110+E110+F110)=0,"",(G110+H110)/(C110+D110+E110+F110)),"")</f>
        <v/>
      </c>
    </row>
    <row r="111" customFormat="false" ht="19.5" hidden="false" customHeight="true" outlineLevel="0" collapsed="false">
      <c r="B111" s="76" t="s">
        <v>240</v>
      </c>
      <c r="C111" s="76"/>
      <c r="D111" s="76"/>
      <c r="E111" s="76"/>
      <c r="F111" s="76"/>
      <c r="G111" s="76"/>
      <c r="H111" s="76"/>
      <c r="I111" s="76" t="str">
        <f aca="false">IFERROR(TEXT((C111+E111-G111),"0")&amp;" / "&amp;TEXT((D111+F111-H111),"0")&amp;" / "&amp;TEXT((C111+E111-G111+D111+F111-H111),"0"),"")</f>
        <v>0 / 0 / 0</v>
      </c>
      <c r="J111" s="78" t="str">
        <f aca="false">IFERROR(IF((C111+E111)=0,"",G111/(C111+E111)),"")</f>
        <v/>
      </c>
      <c r="K111" s="78" t="str">
        <f aca="false">IFERROR(IF((D111+F111)=0,"",H111/(D111+F111)),"")</f>
        <v/>
      </c>
      <c r="L111" s="78" t="str">
        <f aca="false">IFERROR(IF((C111+D111+E111+F111)=0,"",(G111+H111)/(C111+D111+E111+F111)),"")</f>
        <v/>
      </c>
    </row>
    <row r="112" customFormat="false" ht="19.5" hidden="false" customHeight="true" outlineLevel="0" collapsed="false">
      <c r="B112" s="46" t="s">
        <v>1591</v>
      </c>
      <c r="C112" s="46" t="n">
        <f aca="false">SUM(C104:C111)</f>
        <v>0</v>
      </c>
      <c r="D112" s="46" t="n">
        <f aca="false">SUM(D104:D111)</f>
        <v>0</v>
      </c>
      <c r="E112" s="46" t="n">
        <f aca="false">SUM(E104:E111)</f>
        <v>0</v>
      </c>
      <c r="F112" s="46" t="n">
        <f aca="false">SUM(F104:F111)</f>
        <v>0</v>
      </c>
      <c r="G112" s="46" t="n">
        <f aca="false">SUM(G104:G111)</f>
        <v>0</v>
      </c>
      <c r="H112" s="46" t="n">
        <f aca="false">SUM(H104:H111)</f>
        <v>0</v>
      </c>
      <c r="I112" s="46"/>
      <c r="J112" s="46"/>
      <c r="K112" s="46"/>
      <c r="L112" s="79" t="str">
        <f aca="false">IFERROR(IF((SUM(C104:C111)+SUM(D104:D111)+SUM(E104:E111)+SUM(F104:F111))=0,"",(SUM(G104:G111)+SUM(H104:H111))/(SUM(C104:C111)+SUM(D104:D111)+SUM(E104:E111)+SUM(F104:F111))),"")</f>
        <v/>
      </c>
    </row>
    <row r="114" customFormat="false" ht="15" hidden="false" customHeight="false" outlineLevel="0" collapsed="false">
      <c r="B114" s="80" t="s">
        <v>1604</v>
      </c>
    </row>
    <row r="115" customFormat="false" ht="27.75" hidden="false" customHeight="true" outlineLevel="0" collapsed="false">
      <c r="B115" s="15" t="s">
        <v>1553</v>
      </c>
      <c r="C115" s="15" t="s">
        <v>1593</v>
      </c>
      <c r="D115" s="15" t="s">
        <v>1594</v>
      </c>
      <c r="E115" s="15" t="s">
        <v>1595</v>
      </c>
      <c r="F115" s="15" t="s">
        <v>1596</v>
      </c>
      <c r="G115" s="15" t="s">
        <v>1597</v>
      </c>
      <c r="H115" s="15" t="s">
        <v>1598</v>
      </c>
      <c r="I115" s="15" t="s">
        <v>1587</v>
      </c>
      <c r="J115" s="15" t="s">
        <v>1588</v>
      </c>
      <c r="K115" s="15" t="s">
        <v>1589</v>
      </c>
      <c r="L115" s="15" t="s">
        <v>1590</v>
      </c>
    </row>
    <row r="116" customFormat="false" ht="19.5" hidden="false" customHeight="true" outlineLevel="0" collapsed="false">
      <c r="B116" s="22" t="s">
        <v>233</v>
      </c>
      <c r="C116" s="49"/>
      <c r="D116" s="49"/>
      <c r="E116" s="49"/>
      <c r="F116" s="49"/>
      <c r="G116" s="49"/>
      <c r="H116" s="22"/>
      <c r="I116" s="22" t="str">
        <f aca="false">IFERROR(TEXT((C116+E116-G116),"0")&amp;" / "&amp;TEXT((D116+F116-H116),"0")&amp;" / "&amp;TEXT((C116+E116-G116+D116+F116-H116),"0"),"")</f>
        <v>0 / 0 / 0</v>
      </c>
      <c r="J116" s="68" t="str">
        <f aca="false">IFERROR(IF((C116+E116)=0,"",G116/(C116+E116)),"")</f>
        <v/>
      </c>
      <c r="K116" s="68" t="str">
        <f aca="false">IFERROR(IF((D116+F116)=0,"",H116/(D116+F116)),"")</f>
        <v/>
      </c>
      <c r="L116" s="68" t="str">
        <f aca="false">IFERROR(IF((C116+D116+E116+F116)=0,"",(G116+H116)/(C116+D116+E116+F116)),"")</f>
        <v/>
      </c>
    </row>
    <row r="117" customFormat="false" ht="19.5" hidden="false" customHeight="true" outlineLevel="0" collapsed="false">
      <c r="B117" s="76" t="s">
        <v>234</v>
      </c>
      <c r="C117" s="76"/>
      <c r="D117" s="76"/>
      <c r="E117" s="76"/>
      <c r="F117" s="76"/>
      <c r="G117" s="76"/>
      <c r="H117" s="76"/>
      <c r="I117" s="76" t="str">
        <f aca="false">IFERROR(TEXT((C117+E117-G117),"0")&amp;" / "&amp;TEXT((D117+F117-H117),"0")&amp;" / "&amp;TEXT((C117+E117-G117+D117+F117-H117),"0"),"")</f>
        <v>0 / 0 / 0</v>
      </c>
      <c r="J117" s="78" t="str">
        <f aca="false">IFERROR(IF((C117+E117)=0,"",G117/(C117+E117)),"")</f>
        <v/>
      </c>
      <c r="K117" s="78" t="str">
        <f aca="false">IFERROR(IF((D117+F117)=0,"",H117/(D117+F117)),"")</f>
        <v/>
      </c>
      <c r="L117" s="78" t="str">
        <f aca="false">IFERROR(IF((C117+D117+E117+F117)=0,"",(G117+H117)/(C117+D117+E117+F117)),"")</f>
        <v/>
      </c>
    </row>
    <row r="118" customFormat="false" ht="19.5" hidden="false" customHeight="true" outlineLevel="0" collapsed="false">
      <c r="B118" s="22" t="s">
        <v>235</v>
      </c>
      <c r="C118" s="49"/>
      <c r="D118" s="49"/>
      <c r="E118" s="49"/>
      <c r="F118" s="49"/>
      <c r="G118" s="49"/>
      <c r="H118" s="22"/>
      <c r="I118" s="22" t="str">
        <f aca="false">IFERROR(TEXT((C118+E118-G118),"0")&amp;" / "&amp;TEXT((D118+F118-H118),"0")&amp;" / "&amp;TEXT((C118+E118-G118+D118+F118-H118),"0"),"")</f>
        <v>0 / 0 / 0</v>
      </c>
      <c r="J118" s="68" t="str">
        <f aca="false">IFERROR(IF((C118+E118)=0,"",G118/(C118+E118)),"")</f>
        <v/>
      </c>
      <c r="K118" s="68" t="str">
        <f aca="false">IFERROR(IF((D118+F118)=0,"",H118/(D118+F118)),"")</f>
        <v/>
      </c>
      <c r="L118" s="68" t="str">
        <f aca="false">IFERROR(IF((C118+D118+E118+F118)=0,"",(G118+H118)/(C118+D118+E118+F118)),"")</f>
        <v/>
      </c>
    </row>
    <row r="119" customFormat="false" ht="19.5" hidden="false" customHeight="true" outlineLevel="0" collapsed="false">
      <c r="B119" s="76" t="s">
        <v>236</v>
      </c>
      <c r="C119" s="76"/>
      <c r="D119" s="76"/>
      <c r="E119" s="76"/>
      <c r="F119" s="76"/>
      <c r="G119" s="76"/>
      <c r="H119" s="76"/>
      <c r="I119" s="76" t="str">
        <f aca="false">IFERROR(TEXT((C119+E119-G119),"0")&amp;" / "&amp;TEXT((D119+F119-H119),"0")&amp;" / "&amp;TEXT((C119+E119-G119+D119+F119-H119),"0"),"")</f>
        <v>0 / 0 / 0</v>
      </c>
      <c r="J119" s="78" t="str">
        <f aca="false">IFERROR(IF((C119+E119)=0,"",G119/(C119+E119)),"")</f>
        <v/>
      </c>
      <c r="K119" s="78" t="str">
        <f aca="false">IFERROR(IF((D119+F119)=0,"",H119/(D119+F119)),"")</f>
        <v/>
      </c>
      <c r="L119" s="78" t="str">
        <f aca="false">IFERROR(IF((C119+D119+E119+F119)=0,"",(G119+H119)/(C119+D119+E119+F119)),"")</f>
        <v/>
      </c>
    </row>
    <row r="120" customFormat="false" ht="19.5" hidden="false" customHeight="true" outlineLevel="0" collapsed="false">
      <c r="B120" s="22" t="s">
        <v>237</v>
      </c>
      <c r="C120" s="49"/>
      <c r="D120" s="49"/>
      <c r="E120" s="49"/>
      <c r="F120" s="49"/>
      <c r="G120" s="49"/>
      <c r="H120" s="22"/>
      <c r="I120" s="22" t="str">
        <f aca="false">IFERROR(TEXT((C120+E120-G120),"0")&amp;" / "&amp;TEXT((D120+F120-H120),"0")&amp;" / "&amp;TEXT((C120+E120-G120+D120+F120-H120),"0"),"")</f>
        <v>0 / 0 / 0</v>
      </c>
      <c r="J120" s="68" t="str">
        <f aca="false">IFERROR(IF((C120+E120)=0,"",G120/(C120+E120)),"")</f>
        <v/>
      </c>
      <c r="K120" s="68" t="str">
        <f aca="false">IFERROR(IF((D120+F120)=0,"",H120/(D120+F120)),"")</f>
        <v/>
      </c>
      <c r="L120" s="68" t="str">
        <f aca="false">IFERROR(IF((C120+D120+E120+F120)=0,"",(G120+H120)/(C120+D120+E120+F120)),"")</f>
        <v/>
      </c>
    </row>
    <row r="121" customFormat="false" ht="19.5" hidden="false" customHeight="true" outlineLevel="0" collapsed="false">
      <c r="B121" s="76" t="s">
        <v>238</v>
      </c>
      <c r="C121" s="76"/>
      <c r="D121" s="76"/>
      <c r="E121" s="76"/>
      <c r="F121" s="76"/>
      <c r="G121" s="76"/>
      <c r="H121" s="76"/>
      <c r="I121" s="76" t="str">
        <f aca="false">IFERROR(TEXT((C121+E121-G121),"0")&amp;" / "&amp;TEXT((D121+F121-H121),"0")&amp;" / "&amp;TEXT((C121+E121-G121+D121+F121-H121),"0"),"")</f>
        <v>0 / 0 / 0</v>
      </c>
      <c r="J121" s="78" t="str">
        <f aca="false">IFERROR(IF((C121+E121)=0,"",G121/(C121+E121)),"")</f>
        <v/>
      </c>
      <c r="K121" s="78" t="str">
        <f aca="false">IFERROR(IF((D121+F121)=0,"",H121/(D121+F121)),"")</f>
        <v/>
      </c>
      <c r="L121" s="78" t="str">
        <f aca="false">IFERROR(IF((C121+D121+E121+F121)=0,"",(G121+H121)/(C121+D121+E121+F121)),"")</f>
        <v/>
      </c>
    </row>
    <row r="122" customFormat="false" ht="19.5" hidden="false" customHeight="true" outlineLevel="0" collapsed="false">
      <c r="B122" s="22" t="s">
        <v>239</v>
      </c>
      <c r="C122" s="49"/>
      <c r="D122" s="49"/>
      <c r="E122" s="49"/>
      <c r="F122" s="49"/>
      <c r="G122" s="49"/>
      <c r="H122" s="22"/>
      <c r="I122" s="22" t="str">
        <f aca="false">IFERROR(TEXT((C122+E122-G122),"0")&amp;" / "&amp;TEXT((D122+F122-H122),"0")&amp;" / "&amp;TEXT((C122+E122-G122+D122+F122-H122),"0"),"")</f>
        <v>0 / 0 / 0</v>
      </c>
      <c r="J122" s="68" t="str">
        <f aca="false">IFERROR(IF((C122+E122)=0,"",G122/(C122+E122)),"")</f>
        <v/>
      </c>
      <c r="K122" s="68" t="str">
        <f aca="false">IFERROR(IF((D122+F122)=0,"",H122/(D122+F122)),"")</f>
        <v/>
      </c>
      <c r="L122" s="68" t="str">
        <f aca="false">IFERROR(IF((C122+D122+E122+F122)=0,"",(G122+H122)/(C122+D122+E122+F122)),"")</f>
        <v/>
      </c>
    </row>
    <row r="123" customFormat="false" ht="19.5" hidden="false" customHeight="true" outlineLevel="0" collapsed="false">
      <c r="B123" s="76" t="s">
        <v>240</v>
      </c>
      <c r="C123" s="76"/>
      <c r="D123" s="76"/>
      <c r="E123" s="76"/>
      <c r="F123" s="76"/>
      <c r="G123" s="76"/>
      <c r="H123" s="76"/>
      <c r="I123" s="76" t="str">
        <f aca="false">IFERROR(TEXT((C123+E123-G123),"0")&amp;" / "&amp;TEXT((D123+F123-H123),"0")&amp;" / "&amp;TEXT((C123+E123-G123+D123+F123-H123),"0"),"")</f>
        <v>0 / 0 / 0</v>
      </c>
      <c r="J123" s="78" t="str">
        <f aca="false">IFERROR(IF((C123+E123)=0,"",G123/(C123+E123)),"")</f>
        <v/>
      </c>
      <c r="K123" s="78" t="str">
        <f aca="false">IFERROR(IF((D123+F123)=0,"",H123/(D123+F123)),"")</f>
        <v/>
      </c>
      <c r="L123" s="78" t="str">
        <f aca="false">IFERROR(IF((C123+D123+E123+F123)=0,"",(G123+H123)/(C123+D123+E123+F123)),"")</f>
        <v/>
      </c>
    </row>
    <row r="124" customFormat="false" ht="19.5" hidden="false" customHeight="true" outlineLevel="0" collapsed="false">
      <c r="B124" s="46" t="s">
        <v>1591</v>
      </c>
      <c r="C124" s="46" t="n">
        <f aca="false">SUM(C116:C123)</f>
        <v>0</v>
      </c>
      <c r="D124" s="46" t="n">
        <f aca="false">SUM(D116:D123)</f>
        <v>0</v>
      </c>
      <c r="E124" s="46" t="n">
        <f aca="false">SUM(E116:E123)</f>
        <v>0</v>
      </c>
      <c r="F124" s="46" t="n">
        <f aca="false">SUM(F116:F123)</f>
        <v>0</v>
      </c>
      <c r="G124" s="46" t="n">
        <f aca="false">SUM(G116:G123)</f>
        <v>0</v>
      </c>
      <c r="H124" s="46" t="n">
        <f aca="false">SUM(H116:H123)</f>
        <v>0</v>
      </c>
      <c r="I124" s="46"/>
      <c r="J124" s="46"/>
      <c r="K124" s="46"/>
      <c r="L124" s="79" t="str">
        <f aca="false">IFERROR(IF((SUM(C116:C123)+SUM(D116:D123)+SUM(E116:E123)+SUM(F116:F123))=0,"",(SUM(G116:G123)+SUM(H116:H123))/(SUM(C116:C123)+SUM(D116:D123)+SUM(E116:E123)+SUM(F116:F123))),"")</f>
        <v/>
      </c>
    </row>
    <row r="126" customFormat="false" ht="15" hidden="false" customHeight="false" outlineLevel="0" collapsed="false">
      <c r="B126" s="80" t="s">
        <v>1605</v>
      </c>
    </row>
    <row r="127" customFormat="false" ht="27.75" hidden="false" customHeight="true" outlineLevel="0" collapsed="false">
      <c r="B127" s="15" t="s">
        <v>1553</v>
      </c>
      <c r="C127" s="15" t="s">
        <v>1593</v>
      </c>
      <c r="D127" s="15" t="s">
        <v>1594</v>
      </c>
      <c r="E127" s="15" t="s">
        <v>1595</v>
      </c>
      <c r="F127" s="15" t="s">
        <v>1596</v>
      </c>
      <c r="G127" s="15" t="s">
        <v>1597</v>
      </c>
      <c r="H127" s="15" t="s">
        <v>1598</v>
      </c>
      <c r="I127" s="15" t="s">
        <v>1587</v>
      </c>
      <c r="J127" s="15" t="s">
        <v>1588</v>
      </c>
      <c r="K127" s="15" t="s">
        <v>1589</v>
      </c>
      <c r="L127" s="15" t="s">
        <v>1590</v>
      </c>
    </row>
    <row r="128" customFormat="false" ht="19.5" hidden="false" customHeight="true" outlineLevel="0" collapsed="false">
      <c r="B128" s="22" t="s">
        <v>233</v>
      </c>
      <c r="C128" s="49"/>
      <c r="D128" s="49"/>
      <c r="E128" s="49"/>
      <c r="F128" s="49"/>
      <c r="G128" s="49"/>
      <c r="H128" s="22"/>
      <c r="I128" s="22" t="str">
        <f aca="false">IFERROR(TEXT((C128+E128-G128),"0")&amp;" / "&amp;TEXT((D128+F128-H128),"0")&amp;" / "&amp;TEXT((C128+E128-G128+D128+F128-H128),"0"),"")</f>
        <v>0 / 0 / 0</v>
      </c>
      <c r="J128" s="68" t="str">
        <f aca="false">IFERROR(IF((C128+E128)=0,"",G128/(C128+E128)),"")</f>
        <v/>
      </c>
      <c r="K128" s="68" t="str">
        <f aca="false">IFERROR(IF((D128+F128)=0,"",H128/(D128+F128)),"")</f>
        <v/>
      </c>
      <c r="L128" s="68" t="str">
        <f aca="false">IFERROR(IF((C128+D128+E128+F128)=0,"",(G128+H128)/(C128+D128+E128+F128)),"")</f>
        <v/>
      </c>
    </row>
    <row r="129" customFormat="false" ht="19.5" hidden="false" customHeight="true" outlineLevel="0" collapsed="false">
      <c r="B129" s="76" t="s">
        <v>234</v>
      </c>
      <c r="C129" s="76"/>
      <c r="D129" s="76"/>
      <c r="E129" s="76"/>
      <c r="F129" s="76"/>
      <c r="G129" s="76"/>
      <c r="H129" s="76"/>
      <c r="I129" s="76" t="str">
        <f aca="false">IFERROR(TEXT((C129+E129-G129),"0")&amp;" / "&amp;TEXT((D129+F129-H129),"0")&amp;" / "&amp;TEXT((C129+E129-G129+D129+F129-H129),"0"),"")</f>
        <v>0 / 0 / 0</v>
      </c>
      <c r="J129" s="78" t="str">
        <f aca="false">IFERROR(IF((C129+E129)=0,"",G129/(C129+E129)),"")</f>
        <v/>
      </c>
      <c r="K129" s="78" t="str">
        <f aca="false">IFERROR(IF((D129+F129)=0,"",H129/(D129+F129)),"")</f>
        <v/>
      </c>
      <c r="L129" s="78" t="str">
        <f aca="false">IFERROR(IF((C129+D129+E129+F129)=0,"",(G129+H129)/(C129+D129+E129+F129)),"")</f>
        <v/>
      </c>
    </row>
    <row r="130" customFormat="false" ht="19.5" hidden="false" customHeight="true" outlineLevel="0" collapsed="false">
      <c r="B130" s="22" t="s">
        <v>235</v>
      </c>
      <c r="C130" s="49"/>
      <c r="D130" s="49"/>
      <c r="E130" s="49"/>
      <c r="F130" s="49"/>
      <c r="G130" s="49"/>
      <c r="H130" s="22"/>
      <c r="I130" s="22" t="str">
        <f aca="false">IFERROR(TEXT((C130+E130-G130),"0")&amp;" / "&amp;TEXT((D130+F130-H130),"0")&amp;" / "&amp;TEXT((C130+E130-G130+D130+F130-H130),"0"),"")</f>
        <v>0 / 0 / 0</v>
      </c>
      <c r="J130" s="68" t="str">
        <f aca="false">IFERROR(IF((C130+E130)=0,"",G130/(C130+E130)),"")</f>
        <v/>
      </c>
      <c r="K130" s="68" t="str">
        <f aca="false">IFERROR(IF((D130+F130)=0,"",H130/(D130+F130)),"")</f>
        <v/>
      </c>
      <c r="L130" s="68" t="str">
        <f aca="false">IFERROR(IF((C130+D130+E130+F130)=0,"",(G130+H130)/(C130+D130+E130+F130)),"")</f>
        <v/>
      </c>
    </row>
    <row r="131" customFormat="false" ht="19.5" hidden="false" customHeight="true" outlineLevel="0" collapsed="false">
      <c r="B131" s="76" t="s">
        <v>236</v>
      </c>
      <c r="C131" s="76"/>
      <c r="D131" s="76"/>
      <c r="E131" s="76"/>
      <c r="F131" s="76"/>
      <c r="G131" s="76"/>
      <c r="H131" s="76"/>
      <c r="I131" s="76" t="str">
        <f aca="false">IFERROR(TEXT((C131+E131-G131),"0")&amp;" / "&amp;TEXT((D131+F131-H131),"0")&amp;" / "&amp;TEXT((C131+E131-G131+D131+F131-H131),"0"),"")</f>
        <v>0 / 0 / 0</v>
      </c>
      <c r="J131" s="78" t="str">
        <f aca="false">IFERROR(IF((C131+E131)=0,"",G131/(C131+E131)),"")</f>
        <v/>
      </c>
      <c r="K131" s="78" t="str">
        <f aca="false">IFERROR(IF((D131+F131)=0,"",H131/(D131+F131)),"")</f>
        <v/>
      </c>
      <c r="L131" s="78" t="str">
        <f aca="false">IFERROR(IF((C131+D131+E131+F131)=0,"",(G131+H131)/(C131+D131+E131+F131)),"")</f>
        <v/>
      </c>
    </row>
    <row r="132" customFormat="false" ht="19.5" hidden="false" customHeight="true" outlineLevel="0" collapsed="false">
      <c r="B132" s="22" t="s">
        <v>237</v>
      </c>
      <c r="C132" s="49"/>
      <c r="D132" s="49"/>
      <c r="E132" s="49"/>
      <c r="F132" s="49"/>
      <c r="G132" s="49"/>
      <c r="H132" s="22"/>
      <c r="I132" s="22" t="str">
        <f aca="false">IFERROR(TEXT((C132+E132-G132),"0")&amp;" / "&amp;TEXT((D132+F132-H132),"0")&amp;" / "&amp;TEXT((C132+E132-G132+D132+F132-H132),"0"),"")</f>
        <v>0 / 0 / 0</v>
      </c>
      <c r="J132" s="68" t="str">
        <f aca="false">IFERROR(IF((C132+E132)=0,"",G132/(C132+E132)),"")</f>
        <v/>
      </c>
      <c r="K132" s="68" t="str">
        <f aca="false">IFERROR(IF((D132+F132)=0,"",H132/(D132+F132)),"")</f>
        <v/>
      </c>
      <c r="L132" s="68" t="str">
        <f aca="false">IFERROR(IF((C132+D132+E132+F132)=0,"",(G132+H132)/(C132+D132+E132+F132)),"")</f>
        <v/>
      </c>
    </row>
    <row r="133" customFormat="false" ht="19.5" hidden="false" customHeight="true" outlineLevel="0" collapsed="false">
      <c r="B133" s="76" t="s">
        <v>238</v>
      </c>
      <c r="C133" s="76"/>
      <c r="D133" s="76"/>
      <c r="E133" s="76"/>
      <c r="F133" s="76"/>
      <c r="G133" s="76"/>
      <c r="H133" s="76"/>
      <c r="I133" s="76" t="str">
        <f aca="false">IFERROR(TEXT((C133+E133-G133),"0")&amp;" / "&amp;TEXT((D133+F133-H133),"0")&amp;" / "&amp;TEXT((C133+E133-G133+D133+F133-H133),"0"),"")</f>
        <v>0 / 0 / 0</v>
      </c>
      <c r="J133" s="78" t="str">
        <f aca="false">IFERROR(IF((C133+E133)=0,"",G133/(C133+E133)),"")</f>
        <v/>
      </c>
      <c r="K133" s="78" t="str">
        <f aca="false">IFERROR(IF((D133+F133)=0,"",H133/(D133+F133)),"")</f>
        <v/>
      </c>
      <c r="L133" s="78" t="str">
        <f aca="false">IFERROR(IF((C133+D133+E133+F133)=0,"",(G133+H133)/(C133+D133+E133+F133)),"")</f>
        <v/>
      </c>
    </row>
    <row r="134" customFormat="false" ht="19.5" hidden="false" customHeight="true" outlineLevel="0" collapsed="false">
      <c r="B134" s="22" t="s">
        <v>239</v>
      </c>
      <c r="C134" s="49"/>
      <c r="D134" s="49"/>
      <c r="E134" s="49"/>
      <c r="F134" s="49"/>
      <c r="G134" s="49"/>
      <c r="H134" s="22"/>
      <c r="I134" s="22" t="str">
        <f aca="false">IFERROR(TEXT((C134+E134-G134),"0")&amp;" / "&amp;TEXT((D134+F134-H134),"0")&amp;" / "&amp;TEXT((C134+E134-G134+D134+F134-H134),"0"),"")</f>
        <v>0 / 0 / 0</v>
      </c>
      <c r="J134" s="68" t="str">
        <f aca="false">IFERROR(IF((C134+E134)=0,"",G134/(C134+E134)),"")</f>
        <v/>
      </c>
      <c r="K134" s="68" t="str">
        <f aca="false">IFERROR(IF((D134+F134)=0,"",H134/(D134+F134)),"")</f>
        <v/>
      </c>
      <c r="L134" s="68" t="str">
        <f aca="false">IFERROR(IF((C134+D134+E134+F134)=0,"",(G134+H134)/(C134+D134+E134+F134)),"")</f>
        <v/>
      </c>
    </row>
    <row r="135" customFormat="false" ht="19.5" hidden="false" customHeight="true" outlineLevel="0" collapsed="false">
      <c r="B135" s="76" t="s">
        <v>240</v>
      </c>
      <c r="C135" s="76"/>
      <c r="D135" s="76"/>
      <c r="E135" s="76"/>
      <c r="F135" s="76"/>
      <c r="G135" s="76"/>
      <c r="H135" s="76"/>
      <c r="I135" s="76" t="str">
        <f aca="false">IFERROR(TEXT((C135+E135-G135),"0")&amp;" / "&amp;TEXT((D135+F135-H135),"0")&amp;" / "&amp;TEXT((C135+E135-G135+D135+F135-H135),"0"),"")</f>
        <v>0 / 0 / 0</v>
      </c>
      <c r="J135" s="78" t="str">
        <f aca="false">IFERROR(IF((C135+E135)=0,"",G135/(C135+E135)),"")</f>
        <v/>
      </c>
      <c r="K135" s="78" t="str">
        <f aca="false">IFERROR(IF((D135+F135)=0,"",H135/(D135+F135)),"")</f>
        <v/>
      </c>
      <c r="L135" s="78" t="str">
        <f aca="false">IFERROR(IF((C135+D135+E135+F135)=0,"",(G135+H135)/(C135+D135+E135+F135)),"")</f>
        <v/>
      </c>
    </row>
    <row r="136" customFormat="false" ht="19.5" hidden="false" customHeight="true" outlineLevel="0" collapsed="false">
      <c r="B136" s="46" t="s">
        <v>1591</v>
      </c>
      <c r="C136" s="46" t="n">
        <f aca="false">SUM(C128:C135)</f>
        <v>0</v>
      </c>
      <c r="D136" s="46" t="n">
        <f aca="false">SUM(D128:D135)</f>
        <v>0</v>
      </c>
      <c r="E136" s="46" t="n">
        <f aca="false">SUM(E128:E135)</f>
        <v>0</v>
      </c>
      <c r="F136" s="46" t="n">
        <f aca="false">SUM(F128:F135)</f>
        <v>0</v>
      </c>
      <c r="G136" s="46" t="n">
        <f aca="false">SUM(G128:G135)</f>
        <v>0</v>
      </c>
      <c r="H136" s="46" t="n">
        <f aca="false">SUM(H128:H135)</f>
        <v>0</v>
      </c>
      <c r="I136" s="46"/>
      <c r="J136" s="46"/>
      <c r="K136" s="46"/>
      <c r="L136" s="79" t="str">
        <f aca="false">IFERROR(IF((SUM(C128:C135)+SUM(D128:D135)+SUM(E128:E135)+SUM(F128:F135))=0,"",(SUM(G128:G135)+SUM(H128:H135))/(SUM(C128:C135)+SUM(D128:D135)+SUM(E128:E135)+SUM(F128:F135))),"")</f>
        <v/>
      </c>
    </row>
    <row r="138" customFormat="false" ht="21.75" hidden="false" customHeight="true" outlineLevel="0" collapsed="false">
      <c r="B138" s="9" t="s">
        <v>442</v>
      </c>
      <c r="C138" s="9"/>
      <c r="D138" s="9"/>
      <c r="E138" s="9"/>
      <c r="F138" s="9"/>
      <c r="G138" s="9"/>
      <c r="H138" s="9"/>
      <c r="I138" s="9"/>
      <c r="J138" s="9"/>
      <c r="K138" s="9"/>
      <c r="L138" s="9"/>
    </row>
    <row r="139" customFormat="false" ht="15" hidden="false" customHeight="false" outlineLevel="0" collapsed="false">
      <c r="B139" s="80" t="s">
        <v>1606</v>
      </c>
    </row>
    <row r="140" customFormat="false" ht="27.75" hidden="false" customHeight="true" outlineLevel="0" collapsed="false">
      <c r="B140" s="15" t="s">
        <v>1553</v>
      </c>
      <c r="C140" s="15" t="s">
        <v>1593</v>
      </c>
      <c r="D140" s="15" t="s">
        <v>1594</v>
      </c>
      <c r="E140" s="15" t="s">
        <v>1595</v>
      </c>
      <c r="F140" s="15" t="s">
        <v>1596</v>
      </c>
      <c r="G140" s="15" t="s">
        <v>1597</v>
      </c>
      <c r="H140" s="15" t="s">
        <v>1598</v>
      </c>
      <c r="I140" s="15" t="s">
        <v>1587</v>
      </c>
      <c r="J140" s="15" t="s">
        <v>1588</v>
      </c>
      <c r="K140" s="15" t="s">
        <v>1589</v>
      </c>
      <c r="L140" s="15" t="s">
        <v>1590</v>
      </c>
    </row>
    <row r="141" customFormat="false" ht="19.5" hidden="false" customHeight="true" outlineLevel="0" collapsed="false">
      <c r="B141" s="22" t="s">
        <v>233</v>
      </c>
      <c r="C141" s="49"/>
      <c r="D141" s="49"/>
      <c r="E141" s="49"/>
      <c r="F141" s="49"/>
      <c r="G141" s="49"/>
      <c r="H141" s="22"/>
      <c r="I141" s="22" t="str">
        <f aca="false">IFERROR(TEXT((C141+E141-G141),"0")&amp;" / "&amp;TEXT((D141+F141-H141),"0")&amp;" / "&amp;TEXT((C141+E141-G141+D141+F141-H141),"0"),"")</f>
        <v>0 / 0 / 0</v>
      </c>
      <c r="J141" s="68" t="str">
        <f aca="false">IFERROR(IF((C141+E141)=0,"",G141/(C141+E141)),"")</f>
        <v/>
      </c>
      <c r="K141" s="68" t="str">
        <f aca="false">IFERROR(IF((D141+F141)=0,"",H141/(D141+F141)),"")</f>
        <v/>
      </c>
      <c r="L141" s="68" t="str">
        <f aca="false">IFERROR(IF((C141+D141+E141+F141)=0,"",(G141+H141)/(C141+D141+E141+F141)),"")</f>
        <v/>
      </c>
    </row>
    <row r="142" customFormat="false" ht="19.5" hidden="false" customHeight="true" outlineLevel="0" collapsed="false">
      <c r="B142" s="76" t="s">
        <v>234</v>
      </c>
      <c r="C142" s="76"/>
      <c r="D142" s="76"/>
      <c r="E142" s="76"/>
      <c r="F142" s="76"/>
      <c r="G142" s="76"/>
      <c r="H142" s="76"/>
      <c r="I142" s="76" t="str">
        <f aca="false">IFERROR(TEXT((C142+E142-G142),"0")&amp;" / "&amp;TEXT((D142+F142-H142),"0")&amp;" / "&amp;TEXT((C142+E142-G142+D142+F142-H142),"0"),"")</f>
        <v>0 / 0 / 0</v>
      </c>
      <c r="J142" s="78" t="str">
        <f aca="false">IFERROR(IF((C142+E142)=0,"",G142/(C142+E142)),"")</f>
        <v/>
      </c>
      <c r="K142" s="78" t="str">
        <f aca="false">IFERROR(IF((D142+F142)=0,"",H142/(D142+F142)),"")</f>
        <v/>
      </c>
      <c r="L142" s="78" t="str">
        <f aca="false">IFERROR(IF((C142+D142+E142+F142)=0,"",(G142+H142)/(C142+D142+E142+F142)),"")</f>
        <v/>
      </c>
    </row>
    <row r="143" customFormat="false" ht="19.5" hidden="false" customHeight="true" outlineLevel="0" collapsed="false">
      <c r="B143" s="22" t="s">
        <v>235</v>
      </c>
      <c r="C143" s="49"/>
      <c r="D143" s="49"/>
      <c r="E143" s="49"/>
      <c r="F143" s="49"/>
      <c r="G143" s="49"/>
      <c r="H143" s="22"/>
      <c r="I143" s="22" t="str">
        <f aca="false">IFERROR(TEXT((C143+E143-G143),"0")&amp;" / "&amp;TEXT((D143+F143-H143),"0")&amp;" / "&amp;TEXT((C143+E143-G143+D143+F143-H143),"0"),"")</f>
        <v>0 / 0 / 0</v>
      </c>
      <c r="J143" s="68" t="str">
        <f aca="false">IFERROR(IF((C143+E143)=0,"",G143/(C143+E143)),"")</f>
        <v/>
      </c>
      <c r="K143" s="68" t="str">
        <f aca="false">IFERROR(IF((D143+F143)=0,"",H143/(D143+F143)),"")</f>
        <v/>
      </c>
      <c r="L143" s="68" t="str">
        <f aca="false">IFERROR(IF((C143+D143+E143+F143)=0,"",(G143+H143)/(C143+D143+E143+F143)),"")</f>
        <v/>
      </c>
    </row>
    <row r="144" customFormat="false" ht="19.5" hidden="false" customHeight="true" outlineLevel="0" collapsed="false">
      <c r="B144" s="76" t="s">
        <v>236</v>
      </c>
      <c r="C144" s="76"/>
      <c r="D144" s="76"/>
      <c r="E144" s="76"/>
      <c r="F144" s="76"/>
      <c r="G144" s="76"/>
      <c r="H144" s="76"/>
      <c r="I144" s="76" t="str">
        <f aca="false">IFERROR(TEXT((C144+E144-G144),"0")&amp;" / "&amp;TEXT((D144+F144-H144),"0")&amp;" / "&amp;TEXT((C144+E144-G144+D144+F144-H144),"0"),"")</f>
        <v>0 / 0 / 0</v>
      </c>
      <c r="J144" s="78" t="str">
        <f aca="false">IFERROR(IF((C144+E144)=0,"",G144/(C144+E144)),"")</f>
        <v/>
      </c>
      <c r="K144" s="78" t="str">
        <f aca="false">IFERROR(IF((D144+F144)=0,"",H144/(D144+F144)),"")</f>
        <v/>
      </c>
      <c r="L144" s="78" t="str">
        <f aca="false">IFERROR(IF((C144+D144+E144+F144)=0,"",(G144+H144)/(C144+D144+E144+F144)),"")</f>
        <v/>
      </c>
    </row>
    <row r="145" customFormat="false" ht="19.5" hidden="false" customHeight="true" outlineLevel="0" collapsed="false">
      <c r="B145" s="22" t="s">
        <v>237</v>
      </c>
      <c r="C145" s="49"/>
      <c r="D145" s="49"/>
      <c r="E145" s="49"/>
      <c r="F145" s="49"/>
      <c r="G145" s="49"/>
      <c r="H145" s="22"/>
      <c r="I145" s="22" t="str">
        <f aca="false">IFERROR(TEXT((C145+E145-G145),"0")&amp;" / "&amp;TEXT((D145+F145-H145),"0")&amp;" / "&amp;TEXT((C145+E145-G145+D145+F145-H145),"0"),"")</f>
        <v>0 / 0 / 0</v>
      </c>
      <c r="J145" s="68" t="str">
        <f aca="false">IFERROR(IF((C145+E145)=0,"",G145/(C145+E145)),"")</f>
        <v/>
      </c>
      <c r="K145" s="68" t="str">
        <f aca="false">IFERROR(IF((D145+F145)=0,"",H145/(D145+F145)),"")</f>
        <v/>
      </c>
      <c r="L145" s="68" t="str">
        <f aca="false">IFERROR(IF((C145+D145+E145+F145)=0,"",(G145+H145)/(C145+D145+E145+F145)),"")</f>
        <v/>
      </c>
    </row>
    <row r="146" customFormat="false" ht="19.5" hidden="false" customHeight="true" outlineLevel="0" collapsed="false">
      <c r="B146" s="76" t="s">
        <v>238</v>
      </c>
      <c r="C146" s="76"/>
      <c r="D146" s="76"/>
      <c r="E146" s="76"/>
      <c r="F146" s="76"/>
      <c r="G146" s="76"/>
      <c r="H146" s="76"/>
      <c r="I146" s="76" t="str">
        <f aca="false">IFERROR(TEXT((C146+E146-G146),"0")&amp;" / "&amp;TEXT((D146+F146-H146),"0")&amp;" / "&amp;TEXT((C146+E146-G146+D146+F146-H146),"0"),"")</f>
        <v>0 / 0 / 0</v>
      </c>
      <c r="J146" s="78" t="str">
        <f aca="false">IFERROR(IF((C146+E146)=0,"",G146/(C146+E146)),"")</f>
        <v/>
      </c>
      <c r="K146" s="78" t="str">
        <f aca="false">IFERROR(IF((D146+F146)=0,"",H146/(D146+F146)),"")</f>
        <v/>
      </c>
      <c r="L146" s="78" t="str">
        <f aca="false">IFERROR(IF((C146+D146+E146+F146)=0,"",(G146+H146)/(C146+D146+E146+F146)),"")</f>
        <v/>
      </c>
    </row>
    <row r="147" customFormat="false" ht="19.5" hidden="false" customHeight="true" outlineLevel="0" collapsed="false">
      <c r="B147" s="22" t="s">
        <v>239</v>
      </c>
      <c r="C147" s="49"/>
      <c r="D147" s="49"/>
      <c r="E147" s="49"/>
      <c r="F147" s="49"/>
      <c r="G147" s="49"/>
      <c r="H147" s="22"/>
      <c r="I147" s="22" t="str">
        <f aca="false">IFERROR(TEXT((C147+E147-G147),"0")&amp;" / "&amp;TEXT((D147+F147-H147),"0")&amp;" / "&amp;TEXT((C147+E147-G147+D147+F147-H147),"0"),"")</f>
        <v>0 / 0 / 0</v>
      </c>
      <c r="J147" s="68" t="str">
        <f aca="false">IFERROR(IF((C147+E147)=0,"",G147/(C147+E147)),"")</f>
        <v/>
      </c>
      <c r="K147" s="68" t="str">
        <f aca="false">IFERROR(IF((D147+F147)=0,"",H147/(D147+F147)),"")</f>
        <v/>
      </c>
      <c r="L147" s="68" t="str">
        <f aca="false">IFERROR(IF((C147+D147+E147+F147)=0,"",(G147+H147)/(C147+D147+E147+F147)),"")</f>
        <v/>
      </c>
    </row>
    <row r="148" customFormat="false" ht="19.5" hidden="false" customHeight="true" outlineLevel="0" collapsed="false">
      <c r="B148" s="76" t="s">
        <v>240</v>
      </c>
      <c r="C148" s="76"/>
      <c r="D148" s="76"/>
      <c r="E148" s="76"/>
      <c r="F148" s="76"/>
      <c r="G148" s="76"/>
      <c r="H148" s="76"/>
      <c r="I148" s="76" t="str">
        <f aca="false">IFERROR(TEXT((C148+E148-G148),"0")&amp;" / "&amp;TEXT((D148+F148-H148),"0")&amp;" / "&amp;TEXT((C148+E148-G148+D148+F148-H148),"0"),"")</f>
        <v>0 / 0 / 0</v>
      </c>
      <c r="J148" s="78" t="str">
        <f aca="false">IFERROR(IF((C148+E148)=0,"",G148/(C148+E148)),"")</f>
        <v/>
      </c>
      <c r="K148" s="78" t="str">
        <f aca="false">IFERROR(IF((D148+F148)=0,"",H148/(D148+F148)),"")</f>
        <v/>
      </c>
      <c r="L148" s="78" t="str">
        <f aca="false">IFERROR(IF((C148+D148+E148+F148)=0,"",(G148+H148)/(C148+D148+E148+F148)),"")</f>
        <v/>
      </c>
    </row>
    <row r="149" customFormat="false" ht="19.5" hidden="false" customHeight="true" outlineLevel="0" collapsed="false">
      <c r="B149" s="46" t="s">
        <v>1591</v>
      </c>
      <c r="C149" s="46" t="n">
        <f aca="false">SUM(C141:C148)</f>
        <v>0</v>
      </c>
      <c r="D149" s="46" t="n">
        <f aca="false">SUM(D141:D148)</f>
        <v>0</v>
      </c>
      <c r="E149" s="46" t="n">
        <f aca="false">SUM(E141:E148)</f>
        <v>0</v>
      </c>
      <c r="F149" s="46" t="n">
        <f aca="false">SUM(F141:F148)</f>
        <v>0</v>
      </c>
      <c r="G149" s="46" t="n">
        <f aca="false">SUM(G141:G148)</f>
        <v>0</v>
      </c>
      <c r="H149" s="46" t="n">
        <f aca="false">SUM(H141:H148)</f>
        <v>0</v>
      </c>
      <c r="I149" s="46"/>
      <c r="J149" s="46"/>
      <c r="K149" s="46"/>
      <c r="L149" s="79" t="str">
        <f aca="false">IFERROR(IF((SUM(C141:C148)+SUM(D141:D148)+SUM(E141:E148)+SUM(F141:F148))=0,"",(SUM(G141:G148)+SUM(H141:H148))/(SUM(C141:C148)+SUM(D141:D148)+SUM(E141:E148)+SUM(F141:F148))),"")</f>
        <v/>
      </c>
    </row>
    <row r="151" customFormat="false" ht="15" hidden="false" customHeight="false" outlineLevel="0" collapsed="false">
      <c r="B151" s="80" t="s">
        <v>1607</v>
      </c>
    </row>
    <row r="152" customFormat="false" ht="27.75" hidden="false" customHeight="true" outlineLevel="0" collapsed="false">
      <c r="B152" s="15" t="s">
        <v>1553</v>
      </c>
      <c r="C152" s="15" t="s">
        <v>1593</v>
      </c>
      <c r="D152" s="15" t="s">
        <v>1594</v>
      </c>
      <c r="E152" s="15" t="s">
        <v>1595</v>
      </c>
      <c r="F152" s="15" t="s">
        <v>1596</v>
      </c>
      <c r="G152" s="15" t="s">
        <v>1597</v>
      </c>
      <c r="H152" s="15" t="s">
        <v>1598</v>
      </c>
      <c r="I152" s="15" t="s">
        <v>1587</v>
      </c>
      <c r="J152" s="15" t="s">
        <v>1588</v>
      </c>
      <c r="K152" s="15" t="s">
        <v>1589</v>
      </c>
      <c r="L152" s="15" t="s">
        <v>1590</v>
      </c>
    </row>
    <row r="153" customFormat="false" ht="19.5" hidden="false" customHeight="true" outlineLevel="0" collapsed="false">
      <c r="B153" s="22" t="s">
        <v>233</v>
      </c>
      <c r="C153" s="49"/>
      <c r="D153" s="49"/>
      <c r="E153" s="49"/>
      <c r="F153" s="49"/>
      <c r="G153" s="49"/>
      <c r="H153" s="22"/>
      <c r="I153" s="22" t="str">
        <f aca="false">IFERROR(TEXT((C153+E153-G153),"0")&amp;" / "&amp;TEXT((D153+F153-H153),"0")&amp;" / "&amp;TEXT((C153+E153-G153+D153+F153-H153),"0"),"")</f>
        <v>0 / 0 / 0</v>
      </c>
      <c r="J153" s="68" t="str">
        <f aca="false">IFERROR(IF((C153+E153)=0,"",G153/(C153+E153)),"")</f>
        <v/>
      </c>
      <c r="K153" s="68" t="str">
        <f aca="false">IFERROR(IF((D153+F153)=0,"",H153/(D153+F153)),"")</f>
        <v/>
      </c>
      <c r="L153" s="68" t="str">
        <f aca="false">IFERROR(IF((C153+D153+E153+F153)=0,"",(G153+H153)/(C153+D153+E153+F153)),"")</f>
        <v/>
      </c>
    </row>
    <row r="154" customFormat="false" ht="19.5" hidden="false" customHeight="true" outlineLevel="0" collapsed="false">
      <c r="B154" s="76" t="s">
        <v>234</v>
      </c>
      <c r="C154" s="76"/>
      <c r="D154" s="76"/>
      <c r="E154" s="76"/>
      <c r="F154" s="76"/>
      <c r="G154" s="76"/>
      <c r="H154" s="76"/>
      <c r="I154" s="76" t="str">
        <f aca="false">IFERROR(TEXT((C154+E154-G154),"0")&amp;" / "&amp;TEXT((D154+F154-H154),"0")&amp;" / "&amp;TEXT((C154+E154-G154+D154+F154-H154),"0"),"")</f>
        <v>0 / 0 / 0</v>
      </c>
      <c r="J154" s="78" t="str">
        <f aca="false">IFERROR(IF((C154+E154)=0,"",G154/(C154+E154)),"")</f>
        <v/>
      </c>
      <c r="K154" s="78" t="str">
        <f aca="false">IFERROR(IF((D154+F154)=0,"",H154/(D154+F154)),"")</f>
        <v/>
      </c>
      <c r="L154" s="78" t="str">
        <f aca="false">IFERROR(IF((C154+D154+E154+F154)=0,"",(G154+H154)/(C154+D154+E154+F154)),"")</f>
        <v/>
      </c>
    </row>
    <row r="155" customFormat="false" ht="19.5" hidden="false" customHeight="true" outlineLevel="0" collapsed="false">
      <c r="B155" s="22" t="s">
        <v>235</v>
      </c>
      <c r="C155" s="49"/>
      <c r="D155" s="49"/>
      <c r="E155" s="49"/>
      <c r="F155" s="49"/>
      <c r="G155" s="49"/>
      <c r="H155" s="22"/>
      <c r="I155" s="22" t="str">
        <f aca="false">IFERROR(TEXT((C155+E155-G155),"0")&amp;" / "&amp;TEXT((D155+F155-H155),"0")&amp;" / "&amp;TEXT((C155+E155-G155+D155+F155-H155),"0"),"")</f>
        <v>0 / 0 / 0</v>
      </c>
      <c r="J155" s="68" t="str">
        <f aca="false">IFERROR(IF((C155+E155)=0,"",G155/(C155+E155)),"")</f>
        <v/>
      </c>
      <c r="K155" s="68" t="str">
        <f aca="false">IFERROR(IF((D155+F155)=0,"",H155/(D155+F155)),"")</f>
        <v/>
      </c>
      <c r="L155" s="68" t="str">
        <f aca="false">IFERROR(IF((C155+D155+E155+F155)=0,"",(G155+H155)/(C155+D155+E155+F155)),"")</f>
        <v/>
      </c>
    </row>
    <row r="156" customFormat="false" ht="19.5" hidden="false" customHeight="true" outlineLevel="0" collapsed="false">
      <c r="B156" s="76" t="s">
        <v>236</v>
      </c>
      <c r="C156" s="76"/>
      <c r="D156" s="76"/>
      <c r="E156" s="76"/>
      <c r="F156" s="76"/>
      <c r="G156" s="76"/>
      <c r="H156" s="76"/>
      <c r="I156" s="76" t="str">
        <f aca="false">IFERROR(TEXT((C156+E156-G156),"0")&amp;" / "&amp;TEXT((D156+F156-H156),"0")&amp;" / "&amp;TEXT((C156+E156-G156+D156+F156-H156),"0"),"")</f>
        <v>0 / 0 / 0</v>
      </c>
      <c r="J156" s="78" t="str">
        <f aca="false">IFERROR(IF((C156+E156)=0,"",G156/(C156+E156)),"")</f>
        <v/>
      </c>
      <c r="K156" s="78" t="str">
        <f aca="false">IFERROR(IF((D156+F156)=0,"",H156/(D156+F156)),"")</f>
        <v/>
      </c>
      <c r="L156" s="78" t="str">
        <f aca="false">IFERROR(IF((C156+D156+E156+F156)=0,"",(G156+H156)/(C156+D156+E156+F156)),"")</f>
        <v/>
      </c>
    </row>
    <row r="157" customFormat="false" ht="19.5" hidden="false" customHeight="true" outlineLevel="0" collapsed="false">
      <c r="B157" s="22" t="s">
        <v>237</v>
      </c>
      <c r="C157" s="49"/>
      <c r="D157" s="49"/>
      <c r="E157" s="49"/>
      <c r="F157" s="49"/>
      <c r="G157" s="49"/>
      <c r="H157" s="22"/>
      <c r="I157" s="22" t="str">
        <f aca="false">IFERROR(TEXT((C157+E157-G157),"0")&amp;" / "&amp;TEXT((D157+F157-H157),"0")&amp;" / "&amp;TEXT((C157+E157-G157+D157+F157-H157),"0"),"")</f>
        <v>0 / 0 / 0</v>
      </c>
      <c r="J157" s="68" t="str">
        <f aca="false">IFERROR(IF((C157+E157)=0,"",G157/(C157+E157)),"")</f>
        <v/>
      </c>
      <c r="K157" s="68" t="str">
        <f aca="false">IFERROR(IF((D157+F157)=0,"",H157/(D157+F157)),"")</f>
        <v/>
      </c>
      <c r="L157" s="68" t="str">
        <f aca="false">IFERROR(IF((C157+D157+E157+F157)=0,"",(G157+H157)/(C157+D157+E157+F157)),"")</f>
        <v/>
      </c>
    </row>
    <row r="158" customFormat="false" ht="19.5" hidden="false" customHeight="true" outlineLevel="0" collapsed="false">
      <c r="B158" s="76" t="s">
        <v>238</v>
      </c>
      <c r="C158" s="76"/>
      <c r="D158" s="76"/>
      <c r="E158" s="76"/>
      <c r="F158" s="76"/>
      <c r="G158" s="76"/>
      <c r="H158" s="76"/>
      <c r="I158" s="76" t="str">
        <f aca="false">IFERROR(TEXT((C158+E158-G158),"0")&amp;" / "&amp;TEXT((D158+F158-H158),"0")&amp;" / "&amp;TEXT((C158+E158-G158+D158+F158-H158),"0"),"")</f>
        <v>0 / 0 / 0</v>
      </c>
      <c r="J158" s="78" t="str">
        <f aca="false">IFERROR(IF((C158+E158)=0,"",G158/(C158+E158)),"")</f>
        <v/>
      </c>
      <c r="K158" s="78" t="str">
        <f aca="false">IFERROR(IF((D158+F158)=0,"",H158/(D158+F158)),"")</f>
        <v/>
      </c>
      <c r="L158" s="78" t="str">
        <f aca="false">IFERROR(IF((C158+D158+E158+F158)=0,"",(G158+H158)/(C158+D158+E158+F158)),"")</f>
        <v/>
      </c>
    </row>
    <row r="159" customFormat="false" ht="19.5" hidden="false" customHeight="true" outlineLevel="0" collapsed="false">
      <c r="B159" s="22" t="s">
        <v>239</v>
      </c>
      <c r="C159" s="49"/>
      <c r="D159" s="49"/>
      <c r="E159" s="49"/>
      <c r="F159" s="49"/>
      <c r="G159" s="49"/>
      <c r="H159" s="22"/>
      <c r="I159" s="22" t="str">
        <f aca="false">IFERROR(TEXT((C159+E159-G159),"0")&amp;" / "&amp;TEXT((D159+F159-H159),"0")&amp;" / "&amp;TEXT((C159+E159-G159+D159+F159-H159),"0"),"")</f>
        <v>0 / 0 / 0</v>
      </c>
      <c r="J159" s="68" t="str">
        <f aca="false">IFERROR(IF((C159+E159)=0,"",G159/(C159+E159)),"")</f>
        <v/>
      </c>
      <c r="K159" s="68" t="str">
        <f aca="false">IFERROR(IF((D159+F159)=0,"",H159/(D159+F159)),"")</f>
        <v/>
      </c>
      <c r="L159" s="68" t="str">
        <f aca="false">IFERROR(IF((C159+D159+E159+F159)=0,"",(G159+H159)/(C159+D159+E159+F159)),"")</f>
        <v/>
      </c>
    </row>
    <row r="160" customFormat="false" ht="19.5" hidden="false" customHeight="true" outlineLevel="0" collapsed="false">
      <c r="B160" s="76" t="s">
        <v>240</v>
      </c>
      <c r="C160" s="76"/>
      <c r="D160" s="76"/>
      <c r="E160" s="76"/>
      <c r="F160" s="76"/>
      <c r="G160" s="76"/>
      <c r="H160" s="76"/>
      <c r="I160" s="76" t="str">
        <f aca="false">IFERROR(TEXT((C160+E160-G160),"0")&amp;" / "&amp;TEXT((D160+F160-H160),"0")&amp;" / "&amp;TEXT((C160+E160-G160+D160+F160-H160),"0"),"")</f>
        <v>0 / 0 / 0</v>
      </c>
      <c r="J160" s="78" t="str">
        <f aca="false">IFERROR(IF((C160+E160)=0,"",G160/(C160+E160)),"")</f>
        <v/>
      </c>
      <c r="K160" s="78" t="str">
        <f aca="false">IFERROR(IF((D160+F160)=0,"",H160/(D160+F160)),"")</f>
        <v/>
      </c>
      <c r="L160" s="78" t="str">
        <f aca="false">IFERROR(IF((C160+D160+E160+F160)=0,"",(G160+H160)/(C160+D160+E160+F160)),"")</f>
        <v/>
      </c>
    </row>
    <row r="161" customFormat="false" ht="19.5" hidden="false" customHeight="true" outlineLevel="0" collapsed="false">
      <c r="B161" s="46" t="s">
        <v>1591</v>
      </c>
      <c r="C161" s="46" t="n">
        <f aca="false">SUM(C153:C160)</f>
        <v>0</v>
      </c>
      <c r="D161" s="46" t="n">
        <f aca="false">SUM(D153:D160)</f>
        <v>0</v>
      </c>
      <c r="E161" s="46" t="n">
        <f aca="false">SUM(E153:E160)</f>
        <v>0</v>
      </c>
      <c r="F161" s="46" t="n">
        <f aca="false">SUM(F153:F160)</f>
        <v>0</v>
      </c>
      <c r="G161" s="46" t="n">
        <f aca="false">SUM(G153:G160)</f>
        <v>0</v>
      </c>
      <c r="H161" s="46" t="n">
        <f aca="false">SUM(H153:H160)</f>
        <v>0</v>
      </c>
      <c r="I161" s="46"/>
      <c r="J161" s="46"/>
      <c r="K161" s="46"/>
      <c r="L161" s="79" t="str">
        <f aca="false">IFERROR(IF((SUM(C153:C160)+SUM(D153:D160)+SUM(E153:E160)+SUM(F153:F160))=0,"",(SUM(G153:G160)+SUM(H153:H160))/(SUM(C153:C160)+SUM(D153:D160)+SUM(E153:E160)+SUM(F153:F160))),"")</f>
        <v/>
      </c>
    </row>
    <row r="163" customFormat="false" ht="15" hidden="false" customHeight="false" outlineLevel="0" collapsed="false">
      <c r="B163" s="80" t="s">
        <v>1608</v>
      </c>
    </row>
    <row r="164" customFormat="false" ht="27.75" hidden="false" customHeight="true" outlineLevel="0" collapsed="false">
      <c r="B164" s="15" t="s">
        <v>1553</v>
      </c>
      <c r="C164" s="15" t="s">
        <v>1593</v>
      </c>
      <c r="D164" s="15" t="s">
        <v>1594</v>
      </c>
      <c r="E164" s="15" t="s">
        <v>1595</v>
      </c>
      <c r="F164" s="15" t="s">
        <v>1596</v>
      </c>
      <c r="G164" s="15" t="s">
        <v>1597</v>
      </c>
      <c r="H164" s="15" t="s">
        <v>1598</v>
      </c>
      <c r="I164" s="15" t="s">
        <v>1587</v>
      </c>
      <c r="J164" s="15" t="s">
        <v>1588</v>
      </c>
      <c r="K164" s="15" t="s">
        <v>1589</v>
      </c>
      <c r="L164" s="15" t="s">
        <v>1590</v>
      </c>
    </row>
    <row r="165" customFormat="false" ht="19.5" hidden="false" customHeight="true" outlineLevel="0" collapsed="false">
      <c r="B165" s="22" t="s">
        <v>233</v>
      </c>
      <c r="C165" s="49"/>
      <c r="D165" s="49"/>
      <c r="E165" s="49"/>
      <c r="F165" s="49"/>
      <c r="G165" s="49"/>
      <c r="H165" s="22"/>
      <c r="I165" s="22" t="str">
        <f aca="false">IFERROR(TEXT((C165+E165-G165),"0")&amp;" / "&amp;TEXT((D165+F165-H165),"0")&amp;" / "&amp;TEXT((C165+E165-G165+D165+F165-H165),"0"),"")</f>
        <v>0 / 0 / 0</v>
      </c>
      <c r="J165" s="68" t="str">
        <f aca="false">IFERROR(IF((C165+E165)=0,"",G165/(C165+E165)),"")</f>
        <v/>
      </c>
      <c r="K165" s="68" t="str">
        <f aca="false">IFERROR(IF((D165+F165)=0,"",H165/(D165+F165)),"")</f>
        <v/>
      </c>
      <c r="L165" s="68" t="str">
        <f aca="false">IFERROR(IF((C165+D165+E165+F165)=0,"",(G165+H165)/(C165+D165+E165+F165)),"")</f>
        <v/>
      </c>
    </row>
    <row r="166" customFormat="false" ht="19.5" hidden="false" customHeight="true" outlineLevel="0" collapsed="false">
      <c r="B166" s="76" t="s">
        <v>234</v>
      </c>
      <c r="C166" s="76"/>
      <c r="D166" s="76"/>
      <c r="E166" s="76"/>
      <c r="F166" s="76"/>
      <c r="G166" s="76"/>
      <c r="H166" s="76"/>
      <c r="I166" s="76" t="str">
        <f aca="false">IFERROR(TEXT((C166+E166-G166),"0")&amp;" / "&amp;TEXT((D166+F166-H166),"0")&amp;" / "&amp;TEXT((C166+E166-G166+D166+F166-H166),"0"),"")</f>
        <v>0 / 0 / 0</v>
      </c>
      <c r="J166" s="78" t="str">
        <f aca="false">IFERROR(IF((C166+E166)=0,"",G166/(C166+E166)),"")</f>
        <v/>
      </c>
      <c r="K166" s="78" t="str">
        <f aca="false">IFERROR(IF((D166+F166)=0,"",H166/(D166+F166)),"")</f>
        <v/>
      </c>
      <c r="L166" s="78" t="str">
        <f aca="false">IFERROR(IF((C166+D166+E166+F166)=0,"",(G166+H166)/(C166+D166+E166+F166)),"")</f>
        <v/>
      </c>
    </row>
    <row r="167" customFormat="false" ht="19.5" hidden="false" customHeight="true" outlineLevel="0" collapsed="false">
      <c r="B167" s="22" t="s">
        <v>235</v>
      </c>
      <c r="C167" s="49"/>
      <c r="D167" s="49"/>
      <c r="E167" s="49"/>
      <c r="F167" s="49"/>
      <c r="G167" s="49"/>
      <c r="H167" s="22"/>
      <c r="I167" s="22" t="str">
        <f aca="false">IFERROR(TEXT((C167+E167-G167),"0")&amp;" / "&amp;TEXT((D167+F167-H167),"0")&amp;" / "&amp;TEXT((C167+E167-G167+D167+F167-H167),"0"),"")</f>
        <v>0 / 0 / 0</v>
      </c>
      <c r="J167" s="68" t="str">
        <f aca="false">IFERROR(IF((C167+E167)=0,"",G167/(C167+E167)),"")</f>
        <v/>
      </c>
      <c r="K167" s="68" t="str">
        <f aca="false">IFERROR(IF((D167+F167)=0,"",H167/(D167+F167)),"")</f>
        <v/>
      </c>
      <c r="L167" s="68" t="str">
        <f aca="false">IFERROR(IF((C167+D167+E167+F167)=0,"",(G167+H167)/(C167+D167+E167+F167)),"")</f>
        <v/>
      </c>
    </row>
    <row r="168" customFormat="false" ht="19.5" hidden="false" customHeight="true" outlineLevel="0" collapsed="false">
      <c r="B168" s="76" t="s">
        <v>236</v>
      </c>
      <c r="C168" s="76"/>
      <c r="D168" s="76"/>
      <c r="E168" s="76"/>
      <c r="F168" s="76"/>
      <c r="G168" s="76"/>
      <c r="H168" s="76"/>
      <c r="I168" s="76" t="str">
        <f aca="false">IFERROR(TEXT((C168+E168-G168),"0")&amp;" / "&amp;TEXT((D168+F168-H168),"0")&amp;" / "&amp;TEXT((C168+E168-G168+D168+F168-H168),"0"),"")</f>
        <v>0 / 0 / 0</v>
      </c>
      <c r="J168" s="78" t="str">
        <f aca="false">IFERROR(IF((C168+E168)=0,"",G168/(C168+E168)),"")</f>
        <v/>
      </c>
      <c r="K168" s="78" t="str">
        <f aca="false">IFERROR(IF((D168+F168)=0,"",H168/(D168+F168)),"")</f>
        <v/>
      </c>
      <c r="L168" s="78" t="str">
        <f aca="false">IFERROR(IF((C168+D168+E168+F168)=0,"",(G168+H168)/(C168+D168+E168+F168)),"")</f>
        <v/>
      </c>
    </row>
    <row r="169" customFormat="false" ht="19.5" hidden="false" customHeight="true" outlineLevel="0" collapsed="false">
      <c r="B169" s="22" t="s">
        <v>237</v>
      </c>
      <c r="C169" s="49"/>
      <c r="D169" s="49"/>
      <c r="E169" s="49"/>
      <c r="F169" s="49"/>
      <c r="G169" s="49"/>
      <c r="H169" s="22"/>
      <c r="I169" s="22" t="str">
        <f aca="false">IFERROR(TEXT((C169+E169-G169),"0")&amp;" / "&amp;TEXT((D169+F169-H169),"0")&amp;" / "&amp;TEXT((C169+E169-G169+D169+F169-H169),"0"),"")</f>
        <v>0 / 0 / 0</v>
      </c>
      <c r="J169" s="68" t="str">
        <f aca="false">IFERROR(IF((C169+E169)=0,"",G169/(C169+E169)),"")</f>
        <v/>
      </c>
      <c r="K169" s="68" t="str">
        <f aca="false">IFERROR(IF((D169+F169)=0,"",H169/(D169+F169)),"")</f>
        <v/>
      </c>
      <c r="L169" s="68" t="str">
        <f aca="false">IFERROR(IF((C169+D169+E169+F169)=0,"",(G169+H169)/(C169+D169+E169+F169)),"")</f>
        <v/>
      </c>
    </row>
    <row r="170" customFormat="false" ht="19.5" hidden="false" customHeight="true" outlineLevel="0" collapsed="false">
      <c r="B170" s="76" t="s">
        <v>238</v>
      </c>
      <c r="C170" s="76"/>
      <c r="D170" s="76"/>
      <c r="E170" s="76"/>
      <c r="F170" s="76"/>
      <c r="G170" s="76"/>
      <c r="H170" s="76"/>
      <c r="I170" s="76" t="str">
        <f aca="false">IFERROR(TEXT((C170+E170-G170),"0")&amp;" / "&amp;TEXT((D170+F170-H170),"0")&amp;" / "&amp;TEXT((C170+E170-G170+D170+F170-H170),"0"),"")</f>
        <v>0 / 0 / 0</v>
      </c>
      <c r="J170" s="78" t="str">
        <f aca="false">IFERROR(IF((C170+E170)=0,"",G170/(C170+E170)),"")</f>
        <v/>
      </c>
      <c r="K170" s="78" t="str">
        <f aca="false">IFERROR(IF((D170+F170)=0,"",H170/(D170+F170)),"")</f>
        <v/>
      </c>
      <c r="L170" s="78" t="str">
        <f aca="false">IFERROR(IF((C170+D170+E170+F170)=0,"",(G170+H170)/(C170+D170+E170+F170)),"")</f>
        <v/>
      </c>
    </row>
    <row r="171" customFormat="false" ht="19.5" hidden="false" customHeight="true" outlineLevel="0" collapsed="false">
      <c r="B171" s="22" t="s">
        <v>239</v>
      </c>
      <c r="C171" s="49"/>
      <c r="D171" s="49"/>
      <c r="E171" s="49"/>
      <c r="F171" s="49"/>
      <c r="G171" s="49"/>
      <c r="H171" s="22"/>
      <c r="I171" s="22" t="str">
        <f aca="false">IFERROR(TEXT((C171+E171-G171),"0")&amp;" / "&amp;TEXT((D171+F171-H171),"0")&amp;" / "&amp;TEXT((C171+E171-G171+D171+F171-H171),"0"),"")</f>
        <v>0 / 0 / 0</v>
      </c>
      <c r="J171" s="68" t="str">
        <f aca="false">IFERROR(IF((C171+E171)=0,"",G171/(C171+E171)),"")</f>
        <v/>
      </c>
      <c r="K171" s="68" t="str">
        <f aca="false">IFERROR(IF((D171+F171)=0,"",H171/(D171+F171)),"")</f>
        <v/>
      </c>
      <c r="L171" s="68" t="str">
        <f aca="false">IFERROR(IF((C171+D171+E171+F171)=0,"",(G171+H171)/(C171+D171+E171+F171)),"")</f>
        <v/>
      </c>
    </row>
    <row r="172" customFormat="false" ht="19.5" hidden="false" customHeight="true" outlineLevel="0" collapsed="false">
      <c r="B172" s="76" t="s">
        <v>240</v>
      </c>
      <c r="C172" s="76"/>
      <c r="D172" s="76"/>
      <c r="E172" s="76"/>
      <c r="F172" s="76"/>
      <c r="G172" s="76"/>
      <c r="H172" s="76"/>
      <c r="I172" s="76" t="str">
        <f aca="false">IFERROR(TEXT((C172+E172-G172),"0")&amp;" / "&amp;TEXT((D172+F172-H172),"0")&amp;" / "&amp;TEXT((C172+E172-G172+D172+F172-H172),"0"),"")</f>
        <v>0 / 0 / 0</v>
      </c>
      <c r="J172" s="78" t="str">
        <f aca="false">IFERROR(IF((C172+E172)=0,"",G172/(C172+E172)),"")</f>
        <v/>
      </c>
      <c r="K172" s="78" t="str">
        <f aca="false">IFERROR(IF((D172+F172)=0,"",H172/(D172+F172)),"")</f>
        <v/>
      </c>
      <c r="L172" s="78" t="str">
        <f aca="false">IFERROR(IF((C172+D172+E172+F172)=0,"",(G172+H172)/(C172+D172+E172+F172)),"")</f>
        <v/>
      </c>
    </row>
    <row r="173" customFormat="false" ht="19.5" hidden="false" customHeight="true" outlineLevel="0" collapsed="false">
      <c r="B173" s="46" t="s">
        <v>1591</v>
      </c>
      <c r="C173" s="46" t="n">
        <f aca="false">SUM(C165:C172)</f>
        <v>0</v>
      </c>
      <c r="D173" s="46" t="n">
        <f aca="false">SUM(D165:D172)</f>
        <v>0</v>
      </c>
      <c r="E173" s="46" t="n">
        <f aca="false">SUM(E165:E172)</f>
        <v>0</v>
      </c>
      <c r="F173" s="46" t="n">
        <f aca="false">SUM(F165:F172)</f>
        <v>0</v>
      </c>
      <c r="G173" s="46" t="n">
        <f aca="false">SUM(G165:G172)</f>
        <v>0</v>
      </c>
      <c r="H173" s="46" t="n">
        <f aca="false">SUM(H165:H172)</f>
        <v>0</v>
      </c>
      <c r="I173" s="46"/>
      <c r="J173" s="46"/>
      <c r="K173" s="46"/>
      <c r="L173" s="79" t="str">
        <f aca="false">IFERROR(IF((SUM(C165:C172)+SUM(D165:D172)+SUM(E165:E172)+SUM(F165:F172))=0,"",(SUM(G165:G172)+SUM(H165:H172))/(SUM(C165:C172)+SUM(D165:D172)+SUM(E165:E172)+SUM(F165:F172))),"")</f>
        <v/>
      </c>
    </row>
    <row r="175" customFormat="false" ht="15" hidden="false" customHeight="false" outlineLevel="0" collapsed="false">
      <c r="B175" s="80" t="s">
        <v>1609</v>
      </c>
    </row>
    <row r="176" customFormat="false" ht="27.75" hidden="false" customHeight="true" outlineLevel="0" collapsed="false">
      <c r="B176" s="15" t="s">
        <v>1553</v>
      </c>
      <c r="C176" s="15" t="s">
        <v>1593</v>
      </c>
      <c r="D176" s="15" t="s">
        <v>1594</v>
      </c>
      <c r="E176" s="15" t="s">
        <v>1595</v>
      </c>
      <c r="F176" s="15" t="s">
        <v>1596</v>
      </c>
      <c r="G176" s="15" t="s">
        <v>1597</v>
      </c>
      <c r="H176" s="15" t="s">
        <v>1598</v>
      </c>
      <c r="I176" s="15" t="s">
        <v>1587</v>
      </c>
      <c r="J176" s="15" t="s">
        <v>1588</v>
      </c>
      <c r="K176" s="15" t="s">
        <v>1589</v>
      </c>
      <c r="L176" s="15" t="s">
        <v>1590</v>
      </c>
    </row>
    <row r="177" customFormat="false" ht="19.5" hidden="false" customHeight="true" outlineLevel="0" collapsed="false">
      <c r="B177" s="22" t="s">
        <v>233</v>
      </c>
      <c r="C177" s="49"/>
      <c r="D177" s="49"/>
      <c r="E177" s="49"/>
      <c r="F177" s="49"/>
      <c r="G177" s="49"/>
      <c r="H177" s="22"/>
      <c r="I177" s="22" t="str">
        <f aca="false">IFERROR(TEXT((C177+E177-G177),"0")&amp;" / "&amp;TEXT((D177+F177-H177),"0")&amp;" / "&amp;TEXT((C177+E177-G177+D177+F177-H177),"0"),"")</f>
        <v>0 / 0 / 0</v>
      </c>
      <c r="J177" s="68" t="str">
        <f aca="false">IFERROR(IF((C177+E177)=0,"",G177/(C177+E177)),"")</f>
        <v/>
      </c>
      <c r="K177" s="68" t="str">
        <f aca="false">IFERROR(IF((D177+F177)=0,"",H177/(D177+F177)),"")</f>
        <v/>
      </c>
      <c r="L177" s="68" t="str">
        <f aca="false">IFERROR(IF((C177+D177+E177+F177)=0,"",(G177+H177)/(C177+D177+E177+F177)),"")</f>
        <v/>
      </c>
    </row>
    <row r="178" customFormat="false" ht="19.5" hidden="false" customHeight="true" outlineLevel="0" collapsed="false">
      <c r="B178" s="76" t="s">
        <v>234</v>
      </c>
      <c r="C178" s="76"/>
      <c r="D178" s="76"/>
      <c r="E178" s="76"/>
      <c r="F178" s="76"/>
      <c r="G178" s="76"/>
      <c r="H178" s="76"/>
      <c r="I178" s="76" t="str">
        <f aca="false">IFERROR(TEXT((C178+E178-G178),"0")&amp;" / "&amp;TEXT((D178+F178-H178),"0")&amp;" / "&amp;TEXT((C178+E178-G178+D178+F178-H178),"0"),"")</f>
        <v>0 / 0 / 0</v>
      </c>
      <c r="J178" s="78" t="str">
        <f aca="false">IFERROR(IF((C178+E178)=0,"",G178/(C178+E178)),"")</f>
        <v/>
      </c>
      <c r="K178" s="78" t="str">
        <f aca="false">IFERROR(IF((D178+F178)=0,"",H178/(D178+F178)),"")</f>
        <v/>
      </c>
      <c r="L178" s="78" t="str">
        <f aca="false">IFERROR(IF((C178+D178+E178+F178)=0,"",(G178+H178)/(C178+D178+E178+F178)),"")</f>
        <v/>
      </c>
    </row>
    <row r="179" customFormat="false" ht="19.5" hidden="false" customHeight="true" outlineLevel="0" collapsed="false">
      <c r="B179" s="22" t="s">
        <v>235</v>
      </c>
      <c r="C179" s="49"/>
      <c r="D179" s="49"/>
      <c r="E179" s="49"/>
      <c r="F179" s="49"/>
      <c r="G179" s="49"/>
      <c r="H179" s="22"/>
      <c r="I179" s="22" t="str">
        <f aca="false">IFERROR(TEXT((C179+E179-G179),"0")&amp;" / "&amp;TEXT((D179+F179-H179),"0")&amp;" / "&amp;TEXT((C179+E179-G179+D179+F179-H179),"0"),"")</f>
        <v>0 / 0 / 0</v>
      </c>
      <c r="J179" s="68" t="str">
        <f aca="false">IFERROR(IF((C179+E179)=0,"",G179/(C179+E179)),"")</f>
        <v/>
      </c>
      <c r="K179" s="68" t="str">
        <f aca="false">IFERROR(IF((D179+F179)=0,"",H179/(D179+F179)),"")</f>
        <v/>
      </c>
      <c r="L179" s="68" t="str">
        <f aca="false">IFERROR(IF((C179+D179+E179+F179)=0,"",(G179+H179)/(C179+D179+E179+F179)),"")</f>
        <v/>
      </c>
    </row>
    <row r="180" customFormat="false" ht="19.5" hidden="false" customHeight="true" outlineLevel="0" collapsed="false">
      <c r="B180" s="76" t="s">
        <v>236</v>
      </c>
      <c r="C180" s="76"/>
      <c r="D180" s="76"/>
      <c r="E180" s="76"/>
      <c r="F180" s="76"/>
      <c r="G180" s="76"/>
      <c r="H180" s="76"/>
      <c r="I180" s="76" t="str">
        <f aca="false">IFERROR(TEXT((C180+E180-G180),"0")&amp;" / "&amp;TEXT((D180+F180-H180),"0")&amp;" / "&amp;TEXT((C180+E180-G180+D180+F180-H180),"0"),"")</f>
        <v>0 / 0 / 0</v>
      </c>
      <c r="J180" s="78" t="str">
        <f aca="false">IFERROR(IF((C180+E180)=0,"",G180/(C180+E180)),"")</f>
        <v/>
      </c>
      <c r="K180" s="78" t="str">
        <f aca="false">IFERROR(IF((D180+F180)=0,"",H180/(D180+F180)),"")</f>
        <v/>
      </c>
      <c r="L180" s="78" t="str">
        <f aca="false">IFERROR(IF((C180+D180+E180+F180)=0,"",(G180+H180)/(C180+D180+E180+F180)),"")</f>
        <v/>
      </c>
    </row>
    <row r="181" customFormat="false" ht="19.5" hidden="false" customHeight="true" outlineLevel="0" collapsed="false">
      <c r="B181" s="22" t="s">
        <v>237</v>
      </c>
      <c r="C181" s="49"/>
      <c r="D181" s="49"/>
      <c r="E181" s="49"/>
      <c r="F181" s="49"/>
      <c r="G181" s="49"/>
      <c r="H181" s="22"/>
      <c r="I181" s="22" t="str">
        <f aca="false">IFERROR(TEXT((C181+E181-G181),"0")&amp;" / "&amp;TEXT((D181+F181-H181),"0")&amp;" / "&amp;TEXT((C181+E181-G181+D181+F181-H181),"0"),"")</f>
        <v>0 / 0 / 0</v>
      </c>
      <c r="J181" s="68" t="str">
        <f aca="false">IFERROR(IF((C181+E181)=0,"",G181/(C181+E181)),"")</f>
        <v/>
      </c>
      <c r="K181" s="68" t="str">
        <f aca="false">IFERROR(IF((D181+F181)=0,"",H181/(D181+F181)),"")</f>
        <v/>
      </c>
      <c r="L181" s="68" t="str">
        <f aca="false">IFERROR(IF((C181+D181+E181+F181)=0,"",(G181+H181)/(C181+D181+E181+F181)),"")</f>
        <v/>
      </c>
    </row>
    <row r="182" customFormat="false" ht="19.5" hidden="false" customHeight="true" outlineLevel="0" collapsed="false">
      <c r="B182" s="76" t="s">
        <v>238</v>
      </c>
      <c r="C182" s="76"/>
      <c r="D182" s="76"/>
      <c r="E182" s="76"/>
      <c r="F182" s="76"/>
      <c r="G182" s="76"/>
      <c r="H182" s="76"/>
      <c r="I182" s="76" t="str">
        <f aca="false">IFERROR(TEXT((C182+E182-G182),"0")&amp;" / "&amp;TEXT((D182+F182-H182),"0")&amp;" / "&amp;TEXT((C182+E182-G182+D182+F182-H182),"0"),"")</f>
        <v>0 / 0 / 0</v>
      </c>
      <c r="J182" s="78" t="str">
        <f aca="false">IFERROR(IF((C182+E182)=0,"",G182/(C182+E182)),"")</f>
        <v/>
      </c>
      <c r="K182" s="78" t="str">
        <f aca="false">IFERROR(IF((D182+F182)=0,"",H182/(D182+F182)),"")</f>
        <v/>
      </c>
      <c r="L182" s="78" t="str">
        <f aca="false">IFERROR(IF((C182+D182+E182+F182)=0,"",(G182+H182)/(C182+D182+E182+F182)),"")</f>
        <v/>
      </c>
    </row>
    <row r="183" customFormat="false" ht="19.5" hidden="false" customHeight="true" outlineLevel="0" collapsed="false">
      <c r="B183" s="22" t="s">
        <v>239</v>
      </c>
      <c r="C183" s="49"/>
      <c r="D183" s="49"/>
      <c r="E183" s="49"/>
      <c r="F183" s="49"/>
      <c r="G183" s="49"/>
      <c r="H183" s="22"/>
      <c r="I183" s="22" t="str">
        <f aca="false">IFERROR(TEXT((C183+E183-G183),"0")&amp;" / "&amp;TEXT((D183+F183-H183),"0")&amp;" / "&amp;TEXT((C183+E183-G183+D183+F183-H183),"0"),"")</f>
        <v>0 / 0 / 0</v>
      </c>
      <c r="J183" s="68" t="str">
        <f aca="false">IFERROR(IF((C183+E183)=0,"",G183/(C183+E183)),"")</f>
        <v/>
      </c>
      <c r="K183" s="68" t="str">
        <f aca="false">IFERROR(IF((D183+F183)=0,"",H183/(D183+F183)),"")</f>
        <v/>
      </c>
      <c r="L183" s="68" t="str">
        <f aca="false">IFERROR(IF((C183+D183+E183+F183)=0,"",(G183+H183)/(C183+D183+E183+F183)),"")</f>
        <v/>
      </c>
    </row>
    <row r="184" customFormat="false" ht="19.5" hidden="false" customHeight="true" outlineLevel="0" collapsed="false">
      <c r="B184" s="76" t="s">
        <v>240</v>
      </c>
      <c r="C184" s="76"/>
      <c r="D184" s="76"/>
      <c r="E184" s="76"/>
      <c r="F184" s="76"/>
      <c r="G184" s="76"/>
      <c r="H184" s="76"/>
      <c r="I184" s="76" t="str">
        <f aca="false">IFERROR(TEXT((C184+E184-G184),"0")&amp;" / "&amp;TEXT((D184+F184-H184),"0")&amp;" / "&amp;TEXT((C184+E184-G184+D184+F184-H184),"0"),"")</f>
        <v>0 / 0 / 0</v>
      </c>
      <c r="J184" s="78" t="str">
        <f aca="false">IFERROR(IF((C184+E184)=0,"",G184/(C184+E184)),"")</f>
        <v/>
      </c>
      <c r="K184" s="78" t="str">
        <f aca="false">IFERROR(IF((D184+F184)=0,"",H184/(D184+F184)),"")</f>
        <v/>
      </c>
      <c r="L184" s="78" t="str">
        <f aca="false">IFERROR(IF((C184+D184+E184+F184)=0,"",(G184+H184)/(C184+D184+E184+F184)),"")</f>
        <v/>
      </c>
    </row>
    <row r="185" customFormat="false" ht="19.5" hidden="false" customHeight="true" outlineLevel="0" collapsed="false">
      <c r="B185" s="46" t="s">
        <v>1591</v>
      </c>
      <c r="C185" s="46" t="n">
        <f aca="false">SUM(C177:C184)</f>
        <v>0</v>
      </c>
      <c r="D185" s="46" t="n">
        <f aca="false">SUM(D177:D184)</f>
        <v>0</v>
      </c>
      <c r="E185" s="46" t="n">
        <f aca="false">SUM(E177:E184)</f>
        <v>0</v>
      </c>
      <c r="F185" s="46" t="n">
        <f aca="false">SUM(F177:F184)</f>
        <v>0</v>
      </c>
      <c r="G185" s="46" t="n">
        <f aca="false">SUM(G177:G184)</f>
        <v>0</v>
      </c>
      <c r="H185" s="46" t="n">
        <f aca="false">SUM(H177:H184)</f>
        <v>0</v>
      </c>
      <c r="I185" s="46"/>
      <c r="J185" s="46"/>
      <c r="K185" s="46"/>
      <c r="L185" s="79" t="str">
        <f aca="false">IFERROR(IF((SUM(C177:C184)+SUM(D177:D184)+SUM(E177:E184)+SUM(F177:F184))=0,"",(SUM(G177:G184)+SUM(H177:H184))/(SUM(C177:C184)+SUM(D177:D184)+SUM(E177:E184)+SUM(F177:F184))),"")</f>
        <v/>
      </c>
    </row>
    <row r="187" customFormat="false" ht="15" hidden="false" customHeight="false" outlineLevel="0" collapsed="false">
      <c r="B187" s="80" t="s">
        <v>1610</v>
      </c>
    </row>
    <row r="188" customFormat="false" ht="27.75" hidden="false" customHeight="true" outlineLevel="0" collapsed="false">
      <c r="B188" s="15" t="s">
        <v>1553</v>
      </c>
      <c r="C188" s="15" t="s">
        <v>1593</v>
      </c>
      <c r="D188" s="15" t="s">
        <v>1594</v>
      </c>
      <c r="E188" s="15" t="s">
        <v>1595</v>
      </c>
      <c r="F188" s="15" t="s">
        <v>1596</v>
      </c>
      <c r="G188" s="15" t="s">
        <v>1597</v>
      </c>
      <c r="H188" s="15" t="s">
        <v>1598</v>
      </c>
      <c r="I188" s="15" t="s">
        <v>1587</v>
      </c>
      <c r="J188" s="15" t="s">
        <v>1588</v>
      </c>
      <c r="K188" s="15" t="s">
        <v>1589</v>
      </c>
      <c r="L188" s="15" t="s">
        <v>1590</v>
      </c>
    </row>
    <row r="189" customFormat="false" ht="19.5" hidden="false" customHeight="true" outlineLevel="0" collapsed="false">
      <c r="B189" s="22" t="s">
        <v>233</v>
      </c>
      <c r="C189" s="49"/>
      <c r="D189" s="49"/>
      <c r="E189" s="49"/>
      <c r="F189" s="49"/>
      <c r="G189" s="49"/>
      <c r="H189" s="22"/>
      <c r="I189" s="22" t="str">
        <f aca="false">IFERROR(TEXT((C189+E189-G189),"0")&amp;" / "&amp;TEXT((D189+F189-H189),"0")&amp;" / "&amp;TEXT((C189+E189-G189+D189+F189-H189),"0"),"")</f>
        <v>0 / 0 / 0</v>
      </c>
      <c r="J189" s="68" t="str">
        <f aca="false">IFERROR(IF((C189+E189)=0,"",G189/(C189+E189)),"")</f>
        <v/>
      </c>
      <c r="K189" s="68" t="str">
        <f aca="false">IFERROR(IF((D189+F189)=0,"",H189/(D189+F189)),"")</f>
        <v/>
      </c>
      <c r="L189" s="68" t="str">
        <f aca="false">IFERROR(IF((C189+D189+E189+F189)=0,"",(G189+H189)/(C189+D189+E189+F189)),"")</f>
        <v/>
      </c>
    </row>
    <row r="190" customFormat="false" ht="19.5" hidden="false" customHeight="true" outlineLevel="0" collapsed="false">
      <c r="B190" s="76" t="s">
        <v>234</v>
      </c>
      <c r="C190" s="76"/>
      <c r="D190" s="76"/>
      <c r="E190" s="76"/>
      <c r="F190" s="76"/>
      <c r="G190" s="76"/>
      <c r="H190" s="76"/>
      <c r="I190" s="76" t="str">
        <f aca="false">IFERROR(TEXT((C190+E190-G190),"0")&amp;" / "&amp;TEXT((D190+F190-H190),"0")&amp;" / "&amp;TEXT((C190+E190-G190+D190+F190-H190),"0"),"")</f>
        <v>0 / 0 / 0</v>
      </c>
      <c r="J190" s="78" t="str">
        <f aca="false">IFERROR(IF((C190+E190)=0,"",G190/(C190+E190)),"")</f>
        <v/>
      </c>
      <c r="K190" s="78" t="str">
        <f aca="false">IFERROR(IF((D190+F190)=0,"",H190/(D190+F190)),"")</f>
        <v/>
      </c>
      <c r="L190" s="78" t="str">
        <f aca="false">IFERROR(IF((C190+D190+E190+F190)=0,"",(G190+H190)/(C190+D190+E190+F190)),"")</f>
        <v/>
      </c>
    </row>
    <row r="191" customFormat="false" ht="19.5" hidden="false" customHeight="true" outlineLevel="0" collapsed="false">
      <c r="B191" s="22" t="s">
        <v>235</v>
      </c>
      <c r="C191" s="49"/>
      <c r="D191" s="49"/>
      <c r="E191" s="49"/>
      <c r="F191" s="49"/>
      <c r="G191" s="49"/>
      <c r="H191" s="22"/>
      <c r="I191" s="22" t="str">
        <f aca="false">IFERROR(TEXT((C191+E191-G191),"0")&amp;" / "&amp;TEXT((D191+F191-H191),"0")&amp;" / "&amp;TEXT((C191+E191-G191+D191+F191-H191),"0"),"")</f>
        <v>0 / 0 / 0</v>
      </c>
      <c r="J191" s="68" t="str">
        <f aca="false">IFERROR(IF((C191+E191)=0,"",G191/(C191+E191)),"")</f>
        <v/>
      </c>
      <c r="K191" s="68" t="str">
        <f aca="false">IFERROR(IF((D191+F191)=0,"",H191/(D191+F191)),"")</f>
        <v/>
      </c>
      <c r="L191" s="68" t="str">
        <f aca="false">IFERROR(IF((C191+D191+E191+F191)=0,"",(G191+H191)/(C191+D191+E191+F191)),"")</f>
        <v/>
      </c>
    </row>
    <row r="192" customFormat="false" ht="19.5" hidden="false" customHeight="true" outlineLevel="0" collapsed="false">
      <c r="B192" s="76" t="s">
        <v>236</v>
      </c>
      <c r="C192" s="76"/>
      <c r="D192" s="76"/>
      <c r="E192" s="76"/>
      <c r="F192" s="76"/>
      <c r="G192" s="76"/>
      <c r="H192" s="76"/>
      <c r="I192" s="76" t="str">
        <f aca="false">IFERROR(TEXT((C192+E192-G192),"0")&amp;" / "&amp;TEXT((D192+F192-H192),"0")&amp;" / "&amp;TEXT((C192+E192-G192+D192+F192-H192),"0"),"")</f>
        <v>0 / 0 / 0</v>
      </c>
      <c r="J192" s="78" t="str">
        <f aca="false">IFERROR(IF((C192+E192)=0,"",G192/(C192+E192)),"")</f>
        <v/>
      </c>
      <c r="K192" s="78" t="str">
        <f aca="false">IFERROR(IF((D192+F192)=0,"",H192/(D192+F192)),"")</f>
        <v/>
      </c>
      <c r="L192" s="78" t="str">
        <f aca="false">IFERROR(IF((C192+D192+E192+F192)=0,"",(G192+H192)/(C192+D192+E192+F192)),"")</f>
        <v/>
      </c>
    </row>
    <row r="193" customFormat="false" ht="19.5" hidden="false" customHeight="true" outlineLevel="0" collapsed="false">
      <c r="B193" s="22" t="s">
        <v>237</v>
      </c>
      <c r="C193" s="49"/>
      <c r="D193" s="49"/>
      <c r="E193" s="49"/>
      <c r="F193" s="49"/>
      <c r="G193" s="49"/>
      <c r="H193" s="22"/>
      <c r="I193" s="22" t="str">
        <f aca="false">IFERROR(TEXT((C193+E193-G193),"0")&amp;" / "&amp;TEXT((D193+F193-H193),"0")&amp;" / "&amp;TEXT((C193+E193-G193+D193+F193-H193),"0"),"")</f>
        <v>0 / 0 / 0</v>
      </c>
      <c r="J193" s="68" t="str">
        <f aca="false">IFERROR(IF((C193+E193)=0,"",G193/(C193+E193)),"")</f>
        <v/>
      </c>
      <c r="K193" s="68" t="str">
        <f aca="false">IFERROR(IF((D193+F193)=0,"",H193/(D193+F193)),"")</f>
        <v/>
      </c>
      <c r="L193" s="68" t="str">
        <f aca="false">IFERROR(IF((C193+D193+E193+F193)=0,"",(G193+H193)/(C193+D193+E193+F193)),"")</f>
        <v/>
      </c>
    </row>
    <row r="194" customFormat="false" ht="19.5" hidden="false" customHeight="true" outlineLevel="0" collapsed="false">
      <c r="B194" s="76" t="s">
        <v>238</v>
      </c>
      <c r="C194" s="76"/>
      <c r="D194" s="76"/>
      <c r="E194" s="76"/>
      <c r="F194" s="76"/>
      <c r="G194" s="76"/>
      <c r="H194" s="76"/>
      <c r="I194" s="76" t="str">
        <f aca="false">IFERROR(TEXT((C194+E194-G194),"0")&amp;" / "&amp;TEXT((D194+F194-H194),"0")&amp;" / "&amp;TEXT((C194+E194-G194+D194+F194-H194),"0"),"")</f>
        <v>0 / 0 / 0</v>
      </c>
      <c r="J194" s="78" t="str">
        <f aca="false">IFERROR(IF((C194+E194)=0,"",G194/(C194+E194)),"")</f>
        <v/>
      </c>
      <c r="K194" s="78" t="str">
        <f aca="false">IFERROR(IF((D194+F194)=0,"",H194/(D194+F194)),"")</f>
        <v/>
      </c>
      <c r="L194" s="78" t="str">
        <f aca="false">IFERROR(IF((C194+D194+E194+F194)=0,"",(G194+H194)/(C194+D194+E194+F194)),"")</f>
        <v/>
      </c>
    </row>
    <row r="195" customFormat="false" ht="19.5" hidden="false" customHeight="true" outlineLevel="0" collapsed="false">
      <c r="B195" s="22" t="s">
        <v>239</v>
      </c>
      <c r="C195" s="49"/>
      <c r="D195" s="49"/>
      <c r="E195" s="49"/>
      <c r="F195" s="49"/>
      <c r="G195" s="49"/>
      <c r="H195" s="22"/>
      <c r="I195" s="22" t="str">
        <f aca="false">IFERROR(TEXT((C195+E195-G195),"0")&amp;" / "&amp;TEXT((D195+F195-H195),"0")&amp;" / "&amp;TEXT((C195+E195-G195+D195+F195-H195),"0"),"")</f>
        <v>0 / 0 / 0</v>
      </c>
      <c r="J195" s="68" t="str">
        <f aca="false">IFERROR(IF((C195+E195)=0,"",G195/(C195+E195)),"")</f>
        <v/>
      </c>
      <c r="K195" s="68" t="str">
        <f aca="false">IFERROR(IF((D195+F195)=0,"",H195/(D195+F195)),"")</f>
        <v/>
      </c>
      <c r="L195" s="68" t="str">
        <f aca="false">IFERROR(IF((C195+D195+E195+F195)=0,"",(G195+H195)/(C195+D195+E195+F195)),"")</f>
        <v/>
      </c>
    </row>
    <row r="196" customFormat="false" ht="19.5" hidden="false" customHeight="true" outlineLevel="0" collapsed="false">
      <c r="B196" s="76" t="s">
        <v>240</v>
      </c>
      <c r="C196" s="76"/>
      <c r="D196" s="76"/>
      <c r="E196" s="76"/>
      <c r="F196" s="76"/>
      <c r="G196" s="76"/>
      <c r="H196" s="76"/>
      <c r="I196" s="76" t="str">
        <f aca="false">IFERROR(TEXT((C196+E196-G196),"0")&amp;" / "&amp;TEXT((D196+F196-H196),"0")&amp;" / "&amp;TEXT((C196+E196-G196+D196+F196-H196),"0"),"")</f>
        <v>0 / 0 / 0</v>
      </c>
      <c r="J196" s="78" t="str">
        <f aca="false">IFERROR(IF((C196+E196)=0,"",G196/(C196+E196)),"")</f>
        <v/>
      </c>
      <c r="K196" s="78" t="str">
        <f aca="false">IFERROR(IF((D196+F196)=0,"",H196/(D196+F196)),"")</f>
        <v/>
      </c>
      <c r="L196" s="78" t="str">
        <f aca="false">IFERROR(IF((C196+D196+E196+F196)=0,"",(G196+H196)/(C196+D196+E196+F196)),"")</f>
        <v/>
      </c>
    </row>
    <row r="197" customFormat="false" ht="19.5" hidden="false" customHeight="true" outlineLevel="0" collapsed="false">
      <c r="B197" s="46" t="s">
        <v>1591</v>
      </c>
      <c r="C197" s="46" t="n">
        <f aca="false">SUM(C189:C196)</f>
        <v>0</v>
      </c>
      <c r="D197" s="46" t="n">
        <f aca="false">SUM(D189:D196)</f>
        <v>0</v>
      </c>
      <c r="E197" s="46" t="n">
        <f aca="false">SUM(E189:E196)</f>
        <v>0</v>
      </c>
      <c r="F197" s="46" t="n">
        <f aca="false">SUM(F189:F196)</f>
        <v>0</v>
      </c>
      <c r="G197" s="46" t="n">
        <f aca="false">SUM(G189:G196)</f>
        <v>0</v>
      </c>
      <c r="H197" s="46" t="n">
        <f aca="false">SUM(H189:H196)</f>
        <v>0</v>
      </c>
      <c r="I197" s="46"/>
      <c r="J197" s="46"/>
      <c r="K197" s="46"/>
      <c r="L197" s="79" t="str">
        <f aca="false">IFERROR(IF((SUM(C189:C196)+SUM(D189:D196)+SUM(E189:E196)+SUM(F189:F196))=0,"",(SUM(G189:G196)+SUM(H189:H196))/(SUM(C189:C196)+SUM(D189:D196)+SUM(E189:E196)+SUM(F189:F196))),"")</f>
        <v/>
      </c>
    </row>
    <row r="199" customFormat="false" ht="15" hidden="false" customHeight="false" outlineLevel="0" collapsed="false">
      <c r="B199" s="80" t="s">
        <v>1611</v>
      </c>
    </row>
    <row r="200" customFormat="false" ht="27.75" hidden="false" customHeight="true" outlineLevel="0" collapsed="false">
      <c r="B200" s="15" t="s">
        <v>1553</v>
      </c>
      <c r="C200" s="15" t="s">
        <v>1593</v>
      </c>
      <c r="D200" s="15" t="s">
        <v>1594</v>
      </c>
      <c r="E200" s="15" t="s">
        <v>1595</v>
      </c>
      <c r="F200" s="15" t="s">
        <v>1596</v>
      </c>
      <c r="G200" s="15" t="s">
        <v>1597</v>
      </c>
      <c r="H200" s="15" t="s">
        <v>1598</v>
      </c>
      <c r="I200" s="15" t="s">
        <v>1587</v>
      </c>
      <c r="J200" s="15" t="s">
        <v>1588</v>
      </c>
      <c r="K200" s="15" t="s">
        <v>1589</v>
      </c>
      <c r="L200" s="15" t="s">
        <v>1590</v>
      </c>
    </row>
    <row r="201" customFormat="false" ht="19.5" hidden="false" customHeight="true" outlineLevel="0" collapsed="false">
      <c r="B201" s="22" t="s">
        <v>233</v>
      </c>
      <c r="C201" s="49"/>
      <c r="D201" s="49"/>
      <c r="E201" s="49"/>
      <c r="F201" s="49"/>
      <c r="G201" s="49"/>
      <c r="H201" s="22"/>
      <c r="I201" s="22" t="str">
        <f aca="false">IFERROR(TEXT((C201+E201-G201),"0")&amp;" / "&amp;TEXT((D201+F201-H201),"0")&amp;" / "&amp;TEXT((C201+E201-G201+D201+F201-H201),"0"),"")</f>
        <v>0 / 0 / 0</v>
      </c>
      <c r="J201" s="68" t="str">
        <f aca="false">IFERROR(IF((C201+E201)=0,"",G201/(C201+E201)),"")</f>
        <v/>
      </c>
      <c r="K201" s="68" t="str">
        <f aca="false">IFERROR(IF((D201+F201)=0,"",H201/(D201+F201)),"")</f>
        <v/>
      </c>
      <c r="L201" s="68" t="str">
        <f aca="false">IFERROR(IF((C201+D201+E201+F201)=0,"",(G201+H201)/(C201+D201+E201+F201)),"")</f>
        <v/>
      </c>
    </row>
    <row r="202" customFormat="false" ht="19.5" hidden="false" customHeight="true" outlineLevel="0" collapsed="false">
      <c r="B202" s="76" t="s">
        <v>234</v>
      </c>
      <c r="C202" s="76"/>
      <c r="D202" s="76"/>
      <c r="E202" s="76"/>
      <c r="F202" s="76"/>
      <c r="G202" s="76"/>
      <c r="H202" s="76"/>
      <c r="I202" s="76" t="str">
        <f aca="false">IFERROR(TEXT((C202+E202-G202),"0")&amp;" / "&amp;TEXT((D202+F202-H202),"0")&amp;" / "&amp;TEXT((C202+E202-G202+D202+F202-H202),"0"),"")</f>
        <v>0 / 0 / 0</v>
      </c>
      <c r="J202" s="78" t="str">
        <f aca="false">IFERROR(IF((C202+E202)=0,"",G202/(C202+E202)),"")</f>
        <v/>
      </c>
      <c r="K202" s="78" t="str">
        <f aca="false">IFERROR(IF((D202+F202)=0,"",H202/(D202+F202)),"")</f>
        <v/>
      </c>
      <c r="L202" s="78" t="str">
        <f aca="false">IFERROR(IF((C202+D202+E202+F202)=0,"",(G202+H202)/(C202+D202+E202+F202)),"")</f>
        <v/>
      </c>
    </row>
    <row r="203" customFormat="false" ht="19.5" hidden="false" customHeight="true" outlineLevel="0" collapsed="false">
      <c r="B203" s="22" t="s">
        <v>235</v>
      </c>
      <c r="C203" s="49"/>
      <c r="D203" s="49"/>
      <c r="E203" s="49"/>
      <c r="F203" s="49"/>
      <c r="G203" s="49"/>
      <c r="H203" s="22"/>
      <c r="I203" s="22" t="str">
        <f aca="false">IFERROR(TEXT((C203+E203-G203),"0")&amp;" / "&amp;TEXT((D203+F203-H203),"0")&amp;" / "&amp;TEXT((C203+E203-G203+D203+F203-H203),"0"),"")</f>
        <v>0 / 0 / 0</v>
      </c>
      <c r="J203" s="68" t="str">
        <f aca="false">IFERROR(IF((C203+E203)=0,"",G203/(C203+E203)),"")</f>
        <v/>
      </c>
      <c r="K203" s="68" t="str">
        <f aca="false">IFERROR(IF((D203+F203)=0,"",H203/(D203+F203)),"")</f>
        <v/>
      </c>
      <c r="L203" s="68" t="str">
        <f aca="false">IFERROR(IF((C203+D203+E203+F203)=0,"",(G203+H203)/(C203+D203+E203+F203)),"")</f>
        <v/>
      </c>
    </row>
    <row r="204" customFormat="false" ht="19.5" hidden="false" customHeight="true" outlineLevel="0" collapsed="false">
      <c r="B204" s="76" t="s">
        <v>236</v>
      </c>
      <c r="C204" s="76"/>
      <c r="D204" s="76"/>
      <c r="E204" s="76"/>
      <c r="F204" s="76"/>
      <c r="G204" s="76"/>
      <c r="H204" s="76"/>
      <c r="I204" s="76" t="str">
        <f aca="false">IFERROR(TEXT((C204+E204-G204),"0")&amp;" / "&amp;TEXT((D204+F204-H204),"0")&amp;" / "&amp;TEXT((C204+E204-G204+D204+F204-H204),"0"),"")</f>
        <v>0 / 0 / 0</v>
      </c>
      <c r="J204" s="78" t="str">
        <f aca="false">IFERROR(IF((C204+E204)=0,"",G204/(C204+E204)),"")</f>
        <v/>
      </c>
      <c r="K204" s="78" t="str">
        <f aca="false">IFERROR(IF((D204+F204)=0,"",H204/(D204+F204)),"")</f>
        <v/>
      </c>
      <c r="L204" s="78" t="str">
        <f aca="false">IFERROR(IF((C204+D204+E204+F204)=0,"",(G204+H204)/(C204+D204+E204+F204)),"")</f>
        <v/>
      </c>
    </row>
    <row r="205" customFormat="false" ht="19.5" hidden="false" customHeight="true" outlineLevel="0" collapsed="false">
      <c r="B205" s="22" t="s">
        <v>237</v>
      </c>
      <c r="C205" s="49"/>
      <c r="D205" s="49"/>
      <c r="E205" s="49"/>
      <c r="F205" s="49"/>
      <c r="G205" s="49"/>
      <c r="H205" s="22"/>
      <c r="I205" s="22" t="str">
        <f aca="false">IFERROR(TEXT((C205+E205-G205),"0")&amp;" / "&amp;TEXT((D205+F205-H205),"0")&amp;" / "&amp;TEXT((C205+E205-G205+D205+F205-H205),"0"),"")</f>
        <v>0 / 0 / 0</v>
      </c>
      <c r="J205" s="68" t="str">
        <f aca="false">IFERROR(IF((C205+E205)=0,"",G205/(C205+E205)),"")</f>
        <v/>
      </c>
      <c r="K205" s="68" t="str">
        <f aca="false">IFERROR(IF((D205+F205)=0,"",H205/(D205+F205)),"")</f>
        <v/>
      </c>
      <c r="L205" s="68" t="str">
        <f aca="false">IFERROR(IF((C205+D205+E205+F205)=0,"",(G205+H205)/(C205+D205+E205+F205)),"")</f>
        <v/>
      </c>
    </row>
    <row r="206" customFormat="false" ht="19.5" hidden="false" customHeight="true" outlineLevel="0" collapsed="false">
      <c r="B206" s="76" t="s">
        <v>238</v>
      </c>
      <c r="C206" s="76"/>
      <c r="D206" s="76"/>
      <c r="E206" s="76"/>
      <c r="F206" s="76"/>
      <c r="G206" s="76"/>
      <c r="H206" s="76"/>
      <c r="I206" s="76" t="str">
        <f aca="false">IFERROR(TEXT((C206+E206-G206),"0")&amp;" / "&amp;TEXT((D206+F206-H206),"0")&amp;" / "&amp;TEXT((C206+E206-G206+D206+F206-H206),"0"),"")</f>
        <v>0 / 0 / 0</v>
      </c>
      <c r="J206" s="78" t="str">
        <f aca="false">IFERROR(IF((C206+E206)=0,"",G206/(C206+E206)),"")</f>
        <v/>
      </c>
      <c r="K206" s="78" t="str">
        <f aca="false">IFERROR(IF((D206+F206)=0,"",H206/(D206+F206)),"")</f>
        <v/>
      </c>
      <c r="L206" s="78" t="str">
        <f aca="false">IFERROR(IF((C206+D206+E206+F206)=0,"",(G206+H206)/(C206+D206+E206+F206)),"")</f>
        <v/>
      </c>
    </row>
    <row r="207" customFormat="false" ht="19.5" hidden="false" customHeight="true" outlineLevel="0" collapsed="false">
      <c r="B207" s="22" t="s">
        <v>239</v>
      </c>
      <c r="C207" s="49"/>
      <c r="D207" s="49"/>
      <c r="E207" s="49"/>
      <c r="F207" s="49"/>
      <c r="G207" s="49"/>
      <c r="H207" s="22"/>
      <c r="I207" s="22" t="str">
        <f aca="false">IFERROR(TEXT((C207+E207-G207),"0")&amp;" / "&amp;TEXT((D207+F207-H207),"0")&amp;" / "&amp;TEXT((C207+E207-G207+D207+F207-H207),"0"),"")</f>
        <v>0 / 0 / 0</v>
      </c>
      <c r="J207" s="68" t="str">
        <f aca="false">IFERROR(IF((C207+E207)=0,"",G207/(C207+E207)),"")</f>
        <v/>
      </c>
      <c r="K207" s="68" t="str">
        <f aca="false">IFERROR(IF((D207+F207)=0,"",H207/(D207+F207)),"")</f>
        <v/>
      </c>
      <c r="L207" s="68" t="str">
        <f aca="false">IFERROR(IF((C207+D207+E207+F207)=0,"",(G207+H207)/(C207+D207+E207+F207)),"")</f>
        <v/>
      </c>
    </row>
    <row r="208" customFormat="false" ht="19.5" hidden="false" customHeight="true" outlineLevel="0" collapsed="false">
      <c r="B208" s="76" t="s">
        <v>240</v>
      </c>
      <c r="C208" s="76"/>
      <c r="D208" s="76"/>
      <c r="E208" s="76"/>
      <c r="F208" s="76"/>
      <c r="G208" s="76"/>
      <c r="H208" s="76"/>
      <c r="I208" s="76" t="str">
        <f aca="false">IFERROR(TEXT((C208+E208-G208),"0")&amp;" / "&amp;TEXT((D208+F208-H208),"0")&amp;" / "&amp;TEXT((C208+E208-G208+D208+F208-H208),"0"),"")</f>
        <v>0 / 0 / 0</v>
      </c>
      <c r="J208" s="78" t="str">
        <f aca="false">IFERROR(IF((C208+E208)=0,"",G208/(C208+E208)),"")</f>
        <v/>
      </c>
      <c r="K208" s="78" t="str">
        <f aca="false">IFERROR(IF((D208+F208)=0,"",H208/(D208+F208)),"")</f>
        <v/>
      </c>
      <c r="L208" s="78" t="str">
        <f aca="false">IFERROR(IF((C208+D208+E208+F208)=0,"",(G208+H208)/(C208+D208+E208+F208)),"")</f>
        <v/>
      </c>
    </row>
    <row r="209" customFormat="false" ht="19.5" hidden="false" customHeight="true" outlineLevel="0" collapsed="false">
      <c r="B209" s="46" t="s">
        <v>1591</v>
      </c>
      <c r="C209" s="46" t="n">
        <f aca="false">SUM(C201:C208)</f>
        <v>0</v>
      </c>
      <c r="D209" s="46" t="n">
        <f aca="false">SUM(D201:D208)</f>
        <v>0</v>
      </c>
      <c r="E209" s="46" t="n">
        <f aca="false">SUM(E201:E208)</f>
        <v>0</v>
      </c>
      <c r="F209" s="46" t="n">
        <f aca="false">SUM(F201:F208)</f>
        <v>0</v>
      </c>
      <c r="G209" s="46" t="n">
        <f aca="false">SUM(G201:G208)</f>
        <v>0</v>
      </c>
      <c r="H209" s="46" t="n">
        <f aca="false">SUM(H201:H208)</f>
        <v>0</v>
      </c>
      <c r="I209" s="46"/>
      <c r="J209" s="46"/>
      <c r="K209" s="46"/>
      <c r="L209" s="79" t="str">
        <f aca="false">IFERROR(IF((SUM(C201:C208)+SUM(D201:D208)+SUM(E201:E208)+SUM(F201:F208))=0,"",(SUM(G201:G208)+SUM(H201:H208))/(SUM(C201:C208)+SUM(D201:D208)+SUM(E201:E208)+SUM(F201:F208))),"")</f>
        <v/>
      </c>
    </row>
    <row r="211" customFormat="false" ht="21.75" hidden="false" customHeight="true" outlineLevel="0" collapsed="false">
      <c r="B211" s="9" t="s">
        <v>1612</v>
      </c>
      <c r="C211" s="9"/>
      <c r="D211" s="9"/>
      <c r="E211" s="9"/>
      <c r="F211" s="9"/>
      <c r="G211" s="9"/>
      <c r="H211" s="9"/>
      <c r="I211" s="9"/>
      <c r="J211" s="9"/>
      <c r="K211" s="9"/>
      <c r="L211" s="9"/>
    </row>
    <row r="212" customFormat="false" ht="32.8" hidden="false" customHeight="true" outlineLevel="0" collapsed="false">
      <c r="B212" s="13" t="s">
        <v>1613</v>
      </c>
      <c r="C212" s="13"/>
      <c r="D212" s="13"/>
      <c r="E212" s="13"/>
      <c r="F212" s="13"/>
      <c r="G212" s="13"/>
      <c r="H212" s="13"/>
      <c r="I212" s="13"/>
      <c r="J212" s="13"/>
      <c r="K212" s="13"/>
      <c r="L212" s="13"/>
    </row>
    <row r="214" customFormat="false" ht="21.75" hidden="false" customHeight="true" outlineLevel="0" collapsed="false">
      <c r="B214" s="15" t="s">
        <v>1614</v>
      </c>
      <c r="C214" s="19" t="s">
        <v>233</v>
      </c>
      <c r="D214" s="19"/>
      <c r="E214" s="19"/>
      <c r="F214" s="19" t="s">
        <v>234</v>
      </c>
      <c r="G214" s="19"/>
      <c r="H214" s="19"/>
      <c r="I214" s="19" t="s">
        <v>235</v>
      </c>
      <c r="J214" s="19"/>
      <c r="K214" s="19"/>
      <c r="L214" s="19" t="s">
        <v>236</v>
      </c>
      <c r="M214" s="19"/>
      <c r="N214" s="19"/>
      <c r="O214" s="19" t="s">
        <v>237</v>
      </c>
      <c r="P214" s="19"/>
      <c r="Q214" s="19"/>
      <c r="R214" s="19" t="s">
        <v>238</v>
      </c>
      <c r="S214" s="19"/>
      <c r="T214" s="19"/>
      <c r="U214" s="19" t="s">
        <v>239</v>
      </c>
      <c r="V214" s="19"/>
      <c r="W214" s="19"/>
      <c r="X214" s="19" t="s">
        <v>240</v>
      </c>
      <c r="Y214" s="19"/>
      <c r="Z214" s="19"/>
    </row>
    <row r="215" customFormat="false" ht="15.75" hidden="false" customHeight="true" outlineLevel="0" collapsed="false">
      <c r="B215" s="15"/>
      <c r="C215" s="20" t="s">
        <v>242</v>
      </c>
      <c r="D215" s="20" t="s">
        <v>243</v>
      </c>
      <c r="E215" s="20" t="s">
        <v>244</v>
      </c>
      <c r="F215" s="20" t="s">
        <v>245</v>
      </c>
      <c r="G215" s="20" t="s">
        <v>246</v>
      </c>
      <c r="H215" s="20" t="s">
        <v>247</v>
      </c>
      <c r="I215" s="20" t="s">
        <v>248</v>
      </c>
      <c r="J215" s="20" t="s">
        <v>249</v>
      </c>
      <c r="K215" s="20" t="s">
        <v>250</v>
      </c>
      <c r="L215" s="20" t="s">
        <v>251</v>
      </c>
      <c r="M215" s="20" t="s">
        <v>252</v>
      </c>
      <c r="N215" s="20" t="s">
        <v>253</v>
      </c>
      <c r="O215" s="20" t="s">
        <v>254</v>
      </c>
      <c r="P215" s="20" t="s">
        <v>255</v>
      </c>
      <c r="Q215" s="20" t="s">
        <v>256</v>
      </c>
      <c r="R215" s="20" t="s">
        <v>257</v>
      </c>
      <c r="S215" s="20" t="s">
        <v>258</v>
      </c>
      <c r="T215" s="20" t="s">
        <v>259</v>
      </c>
      <c r="U215" s="20" t="s">
        <v>260</v>
      </c>
      <c r="V215" s="20" t="s">
        <v>261</v>
      </c>
      <c r="W215" s="20" t="s">
        <v>262</v>
      </c>
      <c r="X215" s="20" t="s">
        <v>263</v>
      </c>
      <c r="Y215" s="20" t="s">
        <v>264</v>
      </c>
      <c r="Z215" s="20" t="s">
        <v>265</v>
      </c>
    </row>
    <row r="216" customFormat="false" ht="18" hidden="false" customHeight="true" outlineLevel="0" collapsed="false">
      <c r="B216" s="43" t="s">
        <v>1615</v>
      </c>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ustomFormat="false" ht="18" hidden="false" customHeight="true" outlineLevel="0" collapsed="false">
      <c r="B217" s="43" t="s">
        <v>1616</v>
      </c>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ustomFormat="false" ht="18" hidden="false" customHeight="true" outlineLevel="0" collapsed="false">
      <c r="B218" s="43" t="s">
        <v>1617</v>
      </c>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ustomFormat="false" ht="18" hidden="false" customHeight="true" outlineLevel="0" collapsed="false">
      <c r="B219" s="43" t="s">
        <v>1618</v>
      </c>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ustomFormat="false" ht="18" hidden="false" customHeight="true" outlineLevel="0" collapsed="false">
      <c r="B220" s="43" t="s">
        <v>1619</v>
      </c>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ustomFormat="false" ht="18" hidden="false" customHeight="true" outlineLevel="0" collapsed="false">
      <c r="B221" s="43" t="s">
        <v>1620</v>
      </c>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ustomFormat="false" ht="21.75" hidden="false" customHeight="true" outlineLevel="0" collapsed="false">
      <c r="B222" s="9" t="s">
        <v>1621</v>
      </c>
      <c r="C222" s="9"/>
      <c r="D222" s="9"/>
      <c r="E222" s="9"/>
      <c r="F222" s="9"/>
      <c r="G222" s="9"/>
      <c r="H222" s="9"/>
      <c r="I222" s="9"/>
      <c r="J222" s="9"/>
      <c r="K222" s="9"/>
      <c r="L222" s="9"/>
    </row>
    <row r="223" customFormat="false" ht="32.8" hidden="false" customHeight="true" outlineLevel="0" collapsed="false">
      <c r="B223" s="13" t="s">
        <v>1622</v>
      </c>
      <c r="C223" s="13"/>
      <c r="D223" s="13"/>
      <c r="E223" s="13"/>
      <c r="F223" s="13"/>
      <c r="G223" s="13"/>
      <c r="H223" s="13"/>
      <c r="I223" s="13"/>
      <c r="J223" s="13"/>
      <c r="K223" s="13"/>
      <c r="L223" s="13"/>
    </row>
    <row r="225" customFormat="false" ht="24" hidden="false" customHeight="true" outlineLevel="0" collapsed="false">
      <c r="B225" s="31" t="s">
        <v>436</v>
      </c>
      <c r="C225" s="31"/>
      <c r="D225" s="31"/>
      <c r="E225" s="31" t="s">
        <v>430</v>
      </c>
      <c r="F225" s="31"/>
      <c r="G225" s="15" t="s">
        <v>1623</v>
      </c>
      <c r="H225" s="15" t="s">
        <v>1624</v>
      </c>
      <c r="I225" s="31" t="s">
        <v>437</v>
      </c>
      <c r="J225" s="31"/>
      <c r="K225" s="31" t="s">
        <v>1625</v>
      </c>
      <c r="L225" s="31"/>
    </row>
    <row r="226" customFormat="false" ht="18" hidden="false" customHeight="true" outlineLevel="0" collapsed="false">
      <c r="B226" s="28" t="s">
        <v>438</v>
      </c>
      <c r="C226" s="28"/>
      <c r="D226" s="28"/>
      <c r="E226" s="29" t="s">
        <v>432</v>
      </c>
      <c r="F226" s="29"/>
      <c r="G226" s="43" t="n">
        <f aca="false">C15+E15</f>
        <v>0</v>
      </c>
      <c r="H226" s="43" t="n">
        <f aca="false">G15</f>
        <v>0</v>
      </c>
      <c r="I226" s="81" t="str">
        <f aca="false">IFERROR((G15)/(C15+E15),"")</f>
        <v/>
      </c>
      <c r="J226" s="81"/>
      <c r="K226" s="82" t="n">
        <f aca="false">MAX(IFERROR(G15/(C15+E15),0))</f>
        <v>0</v>
      </c>
      <c r="L226" s="82"/>
    </row>
    <row r="227" customFormat="false" ht="18" hidden="false" customHeight="true" outlineLevel="0" collapsed="false">
      <c r="B227" s="28" t="s">
        <v>438</v>
      </c>
      <c r="C227" s="28"/>
      <c r="D227" s="28"/>
      <c r="E227" s="29" t="s">
        <v>433</v>
      </c>
      <c r="F227" s="29"/>
      <c r="G227" s="43" t="n">
        <f aca="false">D15+F15</f>
        <v>0</v>
      </c>
      <c r="H227" s="43" t="n">
        <f aca="false">H15</f>
        <v>0</v>
      </c>
      <c r="I227" s="81" t="str">
        <f aca="false">IFERROR((H15)/(D15+F15),"")</f>
        <v/>
      </c>
      <c r="J227" s="81"/>
      <c r="K227" s="82" t="n">
        <f aca="false">MAX(IFERROR(H15/(D15+F15),0))</f>
        <v>0</v>
      </c>
      <c r="L227" s="82"/>
    </row>
    <row r="228" customFormat="false" ht="18" hidden="false" customHeight="true" outlineLevel="0" collapsed="false">
      <c r="B228" s="28" t="s">
        <v>439</v>
      </c>
      <c r="C228" s="28"/>
      <c r="D228" s="28"/>
      <c r="E228" s="29" t="s">
        <v>440</v>
      </c>
      <c r="F228" s="29"/>
      <c r="G228" s="43" t="n">
        <f aca="false">C28+E28+C40+E40+C52+E52+C64+E64+C76+E76+C88+E88+C100+E100+C112+E112+C124+E124+C136+E136</f>
        <v>0</v>
      </c>
      <c r="H228" s="43" t="n">
        <f aca="false">G28+G40+G52+G64+G76+G88+G100+G112+G124+G136</f>
        <v>0</v>
      </c>
      <c r="I228" s="81" t="str">
        <f aca="false">IFERROR((G28+G40+G52+G64+G76+G88+G100+G112+G124+G136)/(C28+E28+C40+E40+C52+E52+C64+E64+C76+E76+C88+E88+C100+E100+C112+E112+C124+E124+C136+E136),"")</f>
        <v/>
      </c>
      <c r="J228" s="81"/>
      <c r="K228" s="82" t="n">
        <f aca="false">MAX(IFERROR(G28/(C28+E28),0),IFERROR(G40/(C40+E40),0),IFERROR(G52/(C52+E52),0),IFERROR(G64/(C64+E64),0),IFERROR(G76/(C76+E76),0),IFERROR(G88/(C88+E88),0),IFERROR(G100/(C100+E100),0),IFERROR(G112/(C112+E112),0),IFERROR(G124/(C124+E124),0),IFERROR(G136/(C136+E136),0))</f>
        <v>0</v>
      </c>
      <c r="L228" s="82"/>
    </row>
    <row r="229" customFormat="false" ht="18" hidden="false" customHeight="true" outlineLevel="0" collapsed="false">
      <c r="B229" s="28" t="s">
        <v>439</v>
      </c>
      <c r="C229" s="28"/>
      <c r="D229" s="28"/>
      <c r="E229" s="29" t="s">
        <v>441</v>
      </c>
      <c r="F229" s="29"/>
      <c r="G229" s="43" t="n">
        <f aca="false">D28+F28+D40+F40+D52+F52+D64+F64+D76+F76+D88+F88+D100+F100+D112+F112+D124+F124+D136+F136</f>
        <v>0</v>
      </c>
      <c r="H229" s="43" t="n">
        <f aca="false">H28+H40+H52+H64+H76+H88+H100+H112+H124+H136</f>
        <v>0</v>
      </c>
      <c r="I229" s="81" t="str">
        <f aca="false">IFERROR((H28+H40+H52+H64+H76+H88+H100+H112+H124+H136)/(D28+F28+D40+F40+D52+F52+D64+F64+D76+F76+D88+F88+D100+F100+D112+F112+D124+F124+D136+F136),"")</f>
        <v/>
      </c>
      <c r="J229" s="81"/>
      <c r="K229" s="82" t="n">
        <f aca="false">MAX(IFERROR(H28/(D28+F28),0),IFERROR(H40/(D40+F40),0),IFERROR(H52/(D52+F52),0),IFERROR(H64/(D64+F64),0),IFERROR(H76/(D76+F76),0),IFERROR(H88/(D88+F88),0),IFERROR(H100/(D100+F100),0),IFERROR(H112/(D112+F112),0),IFERROR(H124/(D124+F124),0),IFERROR(H136/(D136+F136),0))</f>
        <v>0</v>
      </c>
      <c r="L229" s="82"/>
    </row>
    <row r="230" customFormat="false" ht="18" hidden="false" customHeight="true" outlineLevel="0" collapsed="false">
      <c r="B230" s="28" t="s">
        <v>442</v>
      </c>
      <c r="C230" s="28"/>
      <c r="D230" s="28"/>
      <c r="E230" s="29" t="s">
        <v>440</v>
      </c>
      <c r="F230" s="29"/>
      <c r="G230" s="43" t="n">
        <f aca="false">C149+E149+C161+E161+C173+E173+C185+E185+C197+E197+C209+E209</f>
        <v>0</v>
      </c>
      <c r="H230" s="43" t="n">
        <f aca="false">G149+G161+G173+G185+G197+G209</f>
        <v>0</v>
      </c>
      <c r="I230" s="81" t="str">
        <f aca="false">IFERROR((G149+G161+G173+G185+G197+G209)/(C149+E149+C161+E161+C173+E173+C185+E185+C197+E197+C209+E209),"")</f>
        <v/>
      </c>
      <c r="J230" s="81"/>
      <c r="K230" s="82" t="n">
        <f aca="false">MAX(IFERROR(G149/(C149+E149),0),IFERROR(G161/(C161+E161),0),IFERROR(G173/(C173+E173),0),IFERROR(G185/(C185+E185),0),IFERROR(G197/(C197+E197),0),IFERROR(G209/(C209+E209),0))</f>
        <v>0</v>
      </c>
      <c r="L230" s="82"/>
    </row>
    <row r="231" customFormat="false" ht="18" hidden="false" customHeight="true" outlineLevel="0" collapsed="false">
      <c r="B231" s="28" t="s">
        <v>442</v>
      </c>
      <c r="C231" s="28"/>
      <c r="D231" s="28"/>
      <c r="E231" s="29" t="s">
        <v>441</v>
      </c>
      <c r="F231" s="29"/>
      <c r="G231" s="43" t="n">
        <f aca="false">D149+F149+D161+F161+D173+F173+D185+F185+D197+F197+D209+F209</f>
        <v>0</v>
      </c>
      <c r="H231" s="43" t="n">
        <f aca="false">H149+H161+H173+H185+H197+H209</f>
        <v>0</v>
      </c>
      <c r="I231" s="81" t="str">
        <f aca="false">IFERROR((H149+H161+H173+H185+H197+H209)/(D149+F149+D161+F161+D173+F173+D185+F185+D197+F197+D209+F209),"")</f>
        <v/>
      </c>
      <c r="J231" s="81"/>
      <c r="K231" s="82" t="n">
        <f aca="false">MAX(IFERROR(H149/(D149+F149),0),IFERROR(H161/(D161+F161),0),IFERROR(H173/(D173+F173),0),IFERROR(H185/(D185+F185),0),IFERROR(H197/(D197+F197),0),IFERROR(H209/(D209+F209),0))</f>
        <v>0</v>
      </c>
      <c r="L231" s="82"/>
    </row>
  </sheetData>
  <mergeCells count="46">
    <mergeCell ref="B2:L2"/>
    <mergeCell ref="B3:L3"/>
    <mergeCell ref="B5:L5"/>
    <mergeCell ref="B17:L17"/>
    <mergeCell ref="B138:L138"/>
    <mergeCell ref="B211:L211"/>
    <mergeCell ref="B212:L212"/>
    <mergeCell ref="B214:B215"/>
    <mergeCell ref="C214:E214"/>
    <mergeCell ref="F214:H214"/>
    <mergeCell ref="I214:K214"/>
    <mergeCell ref="L214:N214"/>
    <mergeCell ref="O214:Q214"/>
    <mergeCell ref="R214:T214"/>
    <mergeCell ref="U214:W214"/>
    <mergeCell ref="X214:Z214"/>
    <mergeCell ref="B222:L222"/>
    <mergeCell ref="B223:L223"/>
    <mergeCell ref="B225:D225"/>
    <mergeCell ref="E225:F225"/>
    <mergeCell ref="I225:J225"/>
    <mergeCell ref="K225:L225"/>
    <mergeCell ref="B226:D226"/>
    <mergeCell ref="E226:F226"/>
    <mergeCell ref="I226:J226"/>
    <mergeCell ref="K226:L226"/>
    <mergeCell ref="B227:D227"/>
    <mergeCell ref="E227:F227"/>
    <mergeCell ref="I227:J227"/>
    <mergeCell ref="K227:L227"/>
    <mergeCell ref="B228:D228"/>
    <mergeCell ref="E228:F228"/>
    <mergeCell ref="I228:J228"/>
    <mergeCell ref="K228:L228"/>
    <mergeCell ref="B229:D229"/>
    <mergeCell ref="E229:F229"/>
    <mergeCell ref="I229:J229"/>
    <mergeCell ref="K229:L229"/>
    <mergeCell ref="B230:D230"/>
    <mergeCell ref="E230:F230"/>
    <mergeCell ref="I230:J230"/>
    <mergeCell ref="K230:L230"/>
    <mergeCell ref="B231:D231"/>
    <mergeCell ref="E231:F231"/>
    <mergeCell ref="I231:J231"/>
    <mergeCell ref="K231:L2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B4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12"/>
    <col collapsed="false" customWidth="true" hidden="false" outlineLevel="0" max="4" min="4" style="0" width="16"/>
    <col collapsed="false" customWidth="true" hidden="false" outlineLevel="0" max="28" min="5" style="0" width="6"/>
  </cols>
  <sheetData>
    <row r="2" customFormat="false" ht="21.75" hidden="false" customHeight="true" outlineLevel="0" collapsed="false">
      <c r="B2" s="12" t="s">
        <v>1626</v>
      </c>
      <c r="C2" s="12"/>
      <c r="D2" s="12"/>
      <c r="E2" s="12"/>
      <c r="F2" s="12"/>
      <c r="G2" s="12"/>
      <c r="H2" s="12"/>
      <c r="I2" s="12"/>
      <c r="J2" s="12"/>
      <c r="K2" s="12"/>
      <c r="L2" s="12"/>
    </row>
    <row r="3" customFormat="false" ht="43.25" hidden="false" customHeight="true" outlineLevel="0" collapsed="false">
      <c r="B3" s="13" t="s">
        <v>1627</v>
      </c>
      <c r="C3" s="13"/>
      <c r="D3" s="13"/>
      <c r="E3" s="13"/>
      <c r="F3" s="13"/>
      <c r="G3" s="13"/>
      <c r="H3" s="13"/>
      <c r="I3" s="13"/>
      <c r="J3" s="13"/>
      <c r="K3" s="13"/>
      <c r="L3" s="13"/>
    </row>
    <row r="5" customFormat="false" ht="21.75" hidden="false" customHeight="true" outlineLevel="0" collapsed="false">
      <c r="B5" s="15" t="s">
        <v>416</v>
      </c>
      <c r="C5" s="15" t="s">
        <v>1628</v>
      </c>
      <c r="D5" s="15" t="s">
        <v>374</v>
      </c>
      <c r="E5" s="19" t="s">
        <v>233</v>
      </c>
      <c r="F5" s="19"/>
      <c r="G5" s="19"/>
      <c r="H5" s="19" t="s">
        <v>234</v>
      </c>
      <c r="I5" s="19"/>
      <c r="J5" s="19"/>
      <c r="K5" s="19" t="s">
        <v>235</v>
      </c>
      <c r="L5" s="19"/>
      <c r="M5" s="19"/>
      <c r="N5" s="19" t="s">
        <v>236</v>
      </c>
      <c r="O5" s="19"/>
      <c r="P5" s="19"/>
      <c r="Q5" s="19" t="s">
        <v>237</v>
      </c>
      <c r="R5" s="19"/>
      <c r="S5" s="19"/>
      <c r="T5" s="19" t="s">
        <v>238</v>
      </c>
      <c r="U5" s="19"/>
      <c r="V5" s="19"/>
      <c r="W5" s="19" t="s">
        <v>239</v>
      </c>
      <c r="X5" s="19"/>
      <c r="Y5" s="19"/>
      <c r="Z5" s="19" t="s">
        <v>240</v>
      </c>
      <c r="AA5" s="19"/>
      <c r="AB5" s="19"/>
    </row>
    <row r="6" customFormat="false" ht="15.75" hidden="false" customHeight="true" outlineLevel="0" collapsed="false">
      <c r="B6" s="15"/>
      <c r="C6" s="15"/>
      <c r="D6" s="15"/>
      <c r="E6" s="20" t="s">
        <v>242</v>
      </c>
      <c r="F6" s="20" t="s">
        <v>243</v>
      </c>
      <c r="G6" s="20" t="s">
        <v>244</v>
      </c>
      <c r="H6" s="20" t="s">
        <v>245</v>
      </c>
      <c r="I6" s="20" t="s">
        <v>246</v>
      </c>
      <c r="J6" s="20" t="s">
        <v>247</v>
      </c>
      <c r="K6" s="20" t="s">
        <v>248</v>
      </c>
      <c r="L6" s="20" t="s">
        <v>249</v>
      </c>
      <c r="M6" s="20" t="s">
        <v>250</v>
      </c>
      <c r="N6" s="20" t="s">
        <v>251</v>
      </c>
      <c r="O6" s="20" t="s">
        <v>252</v>
      </c>
      <c r="P6" s="20" t="s">
        <v>253</v>
      </c>
      <c r="Q6" s="20" t="s">
        <v>254</v>
      </c>
      <c r="R6" s="20" t="s">
        <v>255</v>
      </c>
      <c r="S6" s="20" t="s">
        <v>256</v>
      </c>
      <c r="T6" s="20" t="s">
        <v>257</v>
      </c>
      <c r="U6" s="20" t="s">
        <v>258</v>
      </c>
      <c r="V6" s="20" t="s">
        <v>259</v>
      </c>
      <c r="W6" s="20" t="s">
        <v>260</v>
      </c>
      <c r="X6" s="20" t="s">
        <v>261</v>
      </c>
      <c r="Y6" s="20" t="s">
        <v>262</v>
      </c>
      <c r="Z6" s="20" t="s">
        <v>263</v>
      </c>
      <c r="AA6" s="20" t="s">
        <v>264</v>
      </c>
      <c r="AB6" s="20" t="s">
        <v>265</v>
      </c>
    </row>
    <row r="7" customFormat="false" ht="18" hidden="false" customHeight="true" outlineLevel="0" collapsed="false">
      <c r="B7" s="43" t="s">
        <v>419</v>
      </c>
      <c r="C7" s="16" t="s">
        <v>432</v>
      </c>
      <c r="D7" s="16" t="s">
        <v>1629</v>
      </c>
      <c r="E7" s="50"/>
      <c r="F7" s="50"/>
      <c r="G7" s="50"/>
      <c r="H7" s="50"/>
      <c r="I7" s="50"/>
      <c r="J7" s="50"/>
      <c r="K7" s="50"/>
      <c r="L7" s="50"/>
      <c r="M7" s="50"/>
      <c r="N7" s="50"/>
      <c r="O7" s="50"/>
      <c r="P7" s="50"/>
      <c r="Q7" s="50"/>
      <c r="R7" s="50"/>
      <c r="S7" s="50"/>
      <c r="T7" s="50"/>
      <c r="U7" s="50"/>
      <c r="V7" s="50"/>
      <c r="W7" s="50"/>
      <c r="X7" s="50"/>
      <c r="Y7" s="50"/>
      <c r="Z7" s="50"/>
      <c r="AA7" s="50"/>
      <c r="AB7" s="50"/>
    </row>
    <row r="8" customFormat="false" ht="18" hidden="false" customHeight="true" outlineLevel="0" collapsed="false">
      <c r="D8" s="16" t="s">
        <v>1630</v>
      </c>
      <c r="E8" s="50"/>
      <c r="F8" s="50"/>
      <c r="G8" s="50"/>
      <c r="H8" s="50"/>
      <c r="I8" s="50"/>
      <c r="J8" s="50"/>
      <c r="K8" s="50"/>
      <c r="L8" s="50"/>
      <c r="M8" s="50"/>
      <c r="N8" s="50"/>
      <c r="O8" s="50"/>
      <c r="P8" s="50"/>
      <c r="Q8" s="50"/>
      <c r="R8" s="50"/>
      <c r="S8" s="50"/>
      <c r="T8" s="50"/>
      <c r="U8" s="50"/>
      <c r="V8" s="50"/>
      <c r="W8" s="50"/>
      <c r="X8" s="50"/>
      <c r="Y8" s="50"/>
      <c r="Z8" s="50"/>
      <c r="AA8" s="50"/>
      <c r="AB8" s="50"/>
    </row>
    <row r="9" customFormat="false" ht="18" hidden="false" customHeight="true" outlineLevel="0" collapsed="false">
      <c r="D9" s="43" t="s">
        <v>1631</v>
      </c>
      <c r="E9" s="79" t="str">
        <f aca="false">IFERROR(IF(E7="","",E8/E7),"")</f>
        <v/>
      </c>
      <c r="F9" s="79" t="str">
        <f aca="false">IFERROR(IF(F7="","",F8/F7),"")</f>
        <v/>
      </c>
      <c r="G9" s="79" t="str">
        <f aca="false">IFERROR(IF(G7="","",G8/G7),"")</f>
        <v/>
      </c>
      <c r="H9" s="79" t="str">
        <f aca="false">IFERROR(IF(H7="","",H8/H7),"")</f>
        <v/>
      </c>
      <c r="I9" s="79" t="str">
        <f aca="false">IFERROR(IF(I7="","",I8/I7),"")</f>
        <v/>
      </c>
      <c r="J9" s="79" t="str">
        <f aca="false">IFERROR(IF(J7="","",J8/J7),"")</f>
        <v/>
      </c>
      <c r="K9" s="79" t="str">
        <f aca="false">IFERROR(IF(K7="","",K8/K7),"")</f>
        <v/>
      </c>
      <c r="L9" s="79" t="str">
        <f aca="false">IFERROR(IF(L7="","",L8/L7),"")</f>
        <v/>
      </c>
      <c r="M9" s="79" t="str">
        <f aca="false">IFERROR(IF(M7="","",M8/M7),"")</f>
        <v/>
      </c>
      <c r="N9" s="79" t="str">
        <f aca="false">IFERROR(IF(N7="","",N8/N7),"")</f>
        <v/>
      </c>
      <c r="O9" s="79" t="str">
        <f aca="false">IFERROR(IF(O7="","",O8/O7),"")</f>
        <v/>
      </c>
      <c r="P9" s="79" t="str">
        <f aca="false">IFERROR(IF(P7="","",P8/P7),"")</f>
        <v/>
      </c>
      <c r="Q9" s="79" t="str">
        <f aca="false">IFERROR(IF(Q7="","",Q8/Q7),"")</f>
        <v/>
      </c>
      <c r="R9" s="79" t="str">
        <f aca="false">IFERROR(IF(R7="","",R8/R7),"")</f>
        <v/>
      </c>
      <c r="S9" s="79" t="str">
        <f aca="false">IFERROR(IF(S7="","",S8/S7),"")</f>
        <v/>
      </c>
      <c r="T9" s="79" t="str">
        <f aca="false">IFERROR(IF(T7="","",T8/T7),"")</f>
        <v/>
      </c>
      <c r="U9" s="79" t="str">
        <f aca="false">IFERROR(IF(U7="","",U8/U7),"")</f>
        <v/>
      </c>
      <c r="V9" s="79" t="str">
        <f aca="false">IFERROR(IF(V7="","",V8/V7),"")</f>
        <v/>
      </c>
      <c r="W9" s="79" t="str">
        <f aca="false">IFERROR(IF(W7="","",W8/W7),"")</f>
        <v/>
      </c>
      <c r="X9" s="79" t="str">
        <f aca="false">IFERROR(IF(X7="","",X8/X7),"")</f>
        <v/>
      </c>
      <c r="Y9" s="79" t="str">
        <f aca="false">IFERROR(IF(Y7="","",Y8/Y7),"")</f>
        <v/>
      </c>
      <c r="Z9" s="79" t="str">
        <f aca="false">IFERROR(IF(Z7="","",Z8/Z7),"")</f>
        <v/>
      </c>
      <c r="AA9" s="79" t="str">
        <f aca="false">IFERROR(IF(AA7="","",AA8/AA7),"")</f>
        <v/>
      </c>
      <c r="AB9" s="79" t="str">
        <f aca="false">IFERROR(IF(AB7="","",AB8/AB7),"")</f>
        <v/>
      </c>
    </row>
    <row r="10" customFormat="false" ht="18" hidden="false" customHeight="true" outlineLevel="0" collapsed="false">
      <c r="B10" s="43"/>
      <c r="C10" s="16" t="s">
        <v>433</v>
      </c>
      <c r="D10" s="16" t="s">
        <v>1629</v>
      </c>
      <c r="E10" s="50"/>
      <c r="F10" s="50"/>
      <c r="G10" s="50"/>
      <c r="H10" s="50"/>
      <c r="I10" s="50"/>
      <c r="J10" s="50"/>
      <c r="K10" s="50"/>
      <c r="L10" s="50"/>
      <c r="M10" s="50"/>
      <c r="N10" s="50"/>
      <c r="O10" s="50"/>
      <c r="P10" s="50"/>
      <c r="Q10" s="50"/>
      <c r="R10" s="50"/>
      <c r="S10" s="50"/>
      <c r="T10" s="50"/>
      <c r="U10" s="50"/>
      <c r="V10" s="50"/>
      <c r="W10" s="50"/>
      <c r="X10" s="50"/>
      <c r="Y10" s="50"/>
      <c r="Z10" s="50"/>
      <c r="AA10" s="50"/>
      <c r="AB10" s="50"/>
    </row>
    <row r="11" customFormat="false" ht="18" hidden="false" customHeight="true" outlineLevel="0" collapsed="false">
      <c r="D11" s="16" t="s">
        <v>1630</v>
      </c>
      <c r="E11" s="50"/>
      <c r="F11" s="50"/>
      <c r="G11" s="50"/>
      <c r="H11" s="50"/>
      <c r="I11" s="50"/>
      <c r="J11" s="50"/>
      <c r="K11" s="50"/>
      <c r="L11" s="50"/>
      <c r="M11" s="50"/>
      <c r="N11" s="50"/>
      <c r="O11" s="50"/>
      <c r="P11" s="50"/>
      <c r="Q11" s="50"/>
      <c r="R11" s="50"/>
      <c r="S11" s="50"/>
      <c r="T11" s="50"/>
      <c r="U11" s="50"/>
      <c r="V11" s="50"/>
      <c r="W11" s="50"/>
      <c r="X11" s="50"/>
      <c r="Y11" s="50"/>
      <c r="Z11" s="50"/>
      <c r="AA11" s="50"/>
      <c r="AB11" s="50"/>
    </row>
    <row r="12" customFormat="false" ht="18" hidden="false" customHeight="true" outlineLevel="0" collapsed="false">
      <c r="D12" s="43" t="s">
        <v>1631</v>
      </c>
      <c r="E12" s="79" t="str">
        <f aca="false">IFERROR(IF(E10="","",E11/E10),"")</f>
        <v/>
      </c>
      <c r="F12" s="79" t="str">
        <f aca="false">IFERROR(IF(F10="","",F11/F10),"")</f>
        <v/>
      </c>
      <c r="G12" s="79" t="str">
        <f aca="false">IFERROR(IF(G10="","",G11/G10),"")</f>
        <v/>
      </c>
      <c r="H12" s="79" t="str">
        <f aca="false">IFERROR(IF(H10="","",H11/H10),"")</f>
        <v/>
      </c>
      <c r="I12" s="79" t="str">
        <f aca="false">IFERROR(IF(I10="","",I11/I10),"")</f>
        <v/>
      </c>
      <c r="J12" s="79" t="str">
        <f aca="false">IFERROR(IF(J10="","",J11/J10),"")</f>
        <v/>
      </c>
      <c r="K12" s="79" t="str">
        <f aca="false">IFERROR(IF(K10="","",K11/K10),"")</f>
        <v/>
      </c>
      <c r="L12" s="79" t="str">
        <f aca="false">IFERROR(IF(L10="","",L11/L10),"")</f>
        <v/>
      </c>
      <c r="M12" s="79" t="str">
        <f aca="false">IFERROR(IF(M10="","",M11/M10),"")</f>
        <v/>
      </c>
      <c r="N12" s="79" t="str">
        <f aca="false">IFERROR(IF(N10="","",N11/N10),"")</f>
        <v/>
      </c>
      <c r="O12" s="79" t="str">
        <f aca="false">IFERROR(IF(O10="","",O11/O10),"")</f>
        <v/>
      </c>
      <c r="P12" s="79" t="str">
        <f aca="false">IFERROR(IF(P10="","",P11/P10),"")</f>
        <v/>
      </c>
      <c r="Q12" s="79" t="str">
        <f aca="false">IFERROR(IF(Q10="","",Q11/Q10),"")</f>
        <v/>
      </c>
      <c r="R12" s="79" t="str">
        <f aca="false">IFERROR(IF(R10="","",R11/R10),"")</f>
        <v/>
      </c>
      <c r="S12" s="79" t="str">
        <f aca="false">IFERROR(IF(S10="","",S11/S10),"")</f>
        <v/>
      </c>
      <c r="T12" s="79" t="str">
        <f aca="false">IFERROR(IF(T10="","",T11/T10),"")</f>
        <v/>
      </c>
      <c r="U12" s="79" t="str">
        <f aca="false">IFERROR(IF(U10="","",U11/U10),"")</f>
        <v/>
      </c>
      <c r="V12" s="79" t="str">
        <f aca="false">IFERROR(IF(V10="","",V11/V10),"")</f>
        <v/>
      </c>
      <c r="W12" s="79" t="str">
        <f aca="false">IFERROR(IF(W10="","",W11/W10),"")</f>
        <v/>
      </c>
      <c r="X12" s="79" t="str">
        <f aca="false">IFERROR(IF(X10="","",X11/X10),"")</f>
        <v/>
      </c>
      <c r="Y12" s="79" t="str">
        <f aca="false">IFERROR(IF(Y10="","",Y11/Y10),"")</f>
        <v/>
      </c>
      <c r="Z12" s="79" t="str">
        <f aca="false">IFERROR(IF(Z10="","",Z11/Z10),"")</f>
        <v/>
      </c>
      <c r="AA12" s="79" t="str">
        <f aca="false">IFERROR(IF(AA10="","",AA11/AA10),"")</f>
        <v/>
      </c>
      <c r="AB12" s="79" t="str">
        <f aca="false">IFERROR(IF(AB10="","",AB11/AB10),"")</f>
        <v/>
      </c>
    </row>
    <row r="14" customFormat="false" ht="18" hidden="false" customHeight="true" outlineLevel="0" collapsed="false">
      <c r="B14" s="43" t="s">
        <v>420</v>
      </c>
      <c r="C14" s="16" t="s">
        <v>432</v>
      </c>
      <c r="D14" s="16" t="s">
        <v>1629</v>
      </c>
      <c r="E14" s="50"/>
      <c r="F14" s="50"/>
      <c r="G14" s="50"/>
      <c r="H14" s="50"/>
      <c r="I14" s="50"/>
      <c r="J14" s="50"/>
      <c r="K14" s="50"/>
      <c r="L14" s="50"/>
      <c r="M14" s="50"/>
      <c r="N14" s="50"/>
      <c r="O14" s="50"/>
      <c r="P14" s="50"/>
      <c r="Q14" s="50"/>
      <c r="R14" s="50"/>
      <c r="S14" s="50"/>
      <c r="T14" s="50"/>
      <c r="U14" s="50"/>
      <c r="V14" s="50"/>
      <c r="W14" s="50"/>
      <c r="X14" s="50"/>
      <c r="Y14" s="50"/>
      <c r="Z14" s="50"/>
      <c r="AA14" s="50"/>
      <c r="AB14" s="50"/>
    </row>
    <row r="15" customFormat="false" ht="18" hidden="false" customHeight="true" outlineLevel="0" collapsed="false">
      <c r="D15" s="16" t="s">
        <v>1630</v>
      </c>
      <c r="E15" s="50"/>
      <c r="F15" s="50"/>
      <c r="G15" s="50"/>
      <c r="H15" s="50"/>
      <c r="I15" s="50"/>
      <c r="J15" s="50"/>
      <c r="K15" s="50"/>
      <c r="L15" s="50"/>
      <c r="M15" s="50"/>
      <c r="N15" s="50"/>
      <c r="O15" s="50"/>
      <c r="P15" s="50"/>
      <c r="Q15" s="50"/>
      <c r="R15" s="50"/>
      <c r="S15" s="50"/>
      <c r="T15" s="50"/>
      <c r="U15" s="50"/>
      <c r="V15" s="50"/>
      <c r="W15" s="50"/>
      <c r="X15" s="50"/>
      <c r="Y15" s="50"/>
      <c r="Z15" s="50"/>
      <c r="AA15" s="50"/>
      <c r="AB15" s="50"/>
    </row>
    <row r="16" customFormat="false" ht="18" hidden="false" customHeight="true" outlineLevel="0" collapsed="false">
      <c r="D16" s="43" t="s">
        <v>1631</v>
      </c>
      <c r="E16" s="79" t="str">
        <f aca="false">IFERROR(IF(E14="","",E15/E14),"")</f>
        <v/>
      </c>
      <c r="F16" s="79" t="str">
        <f aca="false">IFERROR(IF(F14="","",F15/F14),"")</f>
        <v/>
      </c>
      <c r="G16" s="79" t="str">
        <f aca="false">IFERROR(IF(G14="","",G15/G14),"")</f>
        <v/>
      </c>
      <c r="H16" s="79" t="str">
        <f aca="false">IFERROR(IF(H14="","",H15/H14),"")</f>
        <v/>
      </c>
      <c r="I16" s="79" t="str">
        <f aca="false">IFERROR(IF(I14="","",I15/I14),"")</f>
        <v/>
      </c>
      <c r="J16" s="79" t="str">
        <f aca="false">IFERROR(IF(J14="","",J15/J14),"")</f>
        <v/>
      </c>
      <c r="K16" s="79" t="str">
        <f aca="false">IFERROR(IF(K14="","",K15/K14),"")</f>
        <v/>
      </c>
      <c r="L16" s="79" t="str">
        <f aca="false">IFERROR(IF(L14="","",L15/L14),"")</f>
        <v/>
      </c>
      <c r="M16" s="79" t="str">
        <f aca="false">IFERROR(IF(M14="","",M15/M14),"")</f>
        <v/>
      </c>
      <c r="N16" s="79" t="str">
        <f aca="false">IFERROR(IF(N14="","",N15/N14),"")</f>
        <v/>
      </c>
      <c r="O16" s="79" t="str">
        <f aca="false">IFERROR(IF(O14="","",O15/O14),"")</f>
        <v/>
      </c>
      <c r="P16" s="79" t="str">
        <f aca="false">IFERROR(IF(P14="","",P15/P14),"")</f>
        <v/>
      </c>
      <c r="Q16" s="79" t="str">
        <f aca="false">IFERROR(IF(Q14="","",Q15/Q14),"")</f>
        <v/>
      </c>
      <c r="R16" s="79" t="str">
        <f aca="false">IFERROR(IF(R14="","",R15/R14),"")</f>
        <v/>
      </c>
      <c r="S16" s="79" t="str">
        <f aca="false">IFERROR(IF(S14="","",S15/S14),"")</f>
        <v/>
      </c>
      <c r="T16" s="79" t="str">
        <f aca="false">IFERROR(IF(T14="","",T15/T14),"")</f>
        <v/>
      </c>
      <c r="U16" s="79" t="str">
        <f aca="false">IFERROR(IF(U14="","",U15/U14),"")</f>
        <v/>
      </c>
      <c r="V16" s="79" t="str">
        <f aca="false">IFERROR(IF(V14="","",V15/V14),"")</f>
        <v/>
      </c>
      <c r="W16" s="79" t="str">
        <f aca="false">IFERROR(IF(W14="","",W15/W14),"")</f>
        <v/>
      </c>
      <c r="X16" s="79" t="str">
        <f aca="false">IFERROR(IF(X14="","",X15/X14),"")</f>
        <v/>
      </c>
      <c r="Y16" s="79" t="str">
        <f aca="false">IFERROR(IF(Y14="","",Y15/Y14),"")</f>
        <v/>
      </c>
      <c r="Z16" s="79" t="str">
        <f aca="false">IFERROR(IF(Z14="","",Z15/Z14),"")</f>
        <v/>
      </c>
      <c r="AA16" s="79" t="str">
        <f aca="false">IFERROR(IF(AA14="","",AA15/AA14),"")</f>
        <v/>
      </c>
      <c r="AB16" s="79" t="str">
        <f aca="false">IFERROR(IF(AB14="","",AB15/AB14),"")</f>
        <v/>
      </c>
    </row>
    <row r="17" customFormat="false" ht="18" hidden="false" customHeight="true" outlineLevel="0" collapsed="false">
      <c r="B17" s="43"/>
      <c r="C17" s="16" t="s">
        <v>433</v>
      </c>
      <c r="D17" s="16" t="s">
        <v>1629</v>
      </c>
      <c r="E17" s="50"/>
      <c r="F17" s="50"/>
      <c r="G17" s="50"/>
      <c r="H17" s="50"/>
      <c r="I17" s="50"/>
      <c r="J17" s="50"/>
      <c r="K17" s="50"/>
      <c r="L17" s="50"/>
      <c r="M17" s="50"/>
      <c r="N17" s="50"/>
      <c r="O17" s="50"/>
      <c r="P17" s="50"/>
      <c r="Q17" s="50"/>
      <c r="R17" s="50"/>
      <c r="S17" s="50"/>
      <c r="T17" s="50"/>
      <c r="U17" s="50"/>
      <c r="V17" s="50"/>
      <c r="W17" s="50"/>
      <c r="X17" s="50"/>
      <c r="Y17" s="50"/>
      <c r="Z17" s="50"/>
      <c r="AA17" s="50"/>
      <c r="AB17" s="50"/>
    </row>
    <row r="18" customFormat="false" ht="18" hidden="false" customHeight="true" outlineLevel="0" collapsed="false">
      <c r="D18" s="16" t="s">
        <v>1630</v>
      </c>
      <c r="E18" s="50"/>
      <c r="F18" s="50"/>
      <c r="G18" s="50"/>
      <c r="H18" s="50"/>
      <c r="I18" s="50"/>
      <c r="J18" s="50"/>
      <c r="K18" s="50"/>
      <c r="L18" s="50"/>
      <c r="M18" s="50"/>
      <c r="N18" s="50"/>
      <c r="O18" s="50"/>
      <c r="P18" s="50"/>
      <c r="Q18" s="50"/>
      <c r="R18" s="50"/>
      <c r="S18" s="50"/>
      <c r="T18" s="50"/>
      <c r="U18" s="50"/>
      <c r="V18" s="50"/>
      <c r="W18" s="50"/>
      <c r="X18" s="50"/>
      <c r="Y18" s="50"/>
      <c r="Z18" s="50"/>
      <c r="AA18" s="50"/>
      <c r="AB18" s="50"/>
    </row>
    <row r="19" customFormat="false" ht="18" hidden="false" customHeight="true" outlineLevel="0" collapsed="false">
      <c r="D19" s="43" t="s">
        <v>1631</v>
      </c>
      <c r="E19" s="79" t="str">
        <f aca="false">IFERROR(IF(E17="","",E18/E17),"")</f>
        <v/>
      </c>
      <c r="F19" s="79" t="str">
        <f aca="false">IFERROR(IF(F17="","",F18/F17),"")</f>
        <v/>
      </c>
      <c r="G19" s="79" t="str">
        <f aca="false">IFERROR(IF(G17="","",G18/G17),"")</f>
        <v/>
      </c>
      <c r="H19" s="79" t="str">
        <f aca="false">IFERROR(IF(H17="","",H18/H17),"")</f>
        <v/>
      </c>
      <c r="I19" s="79" t="str">
        <f aca="false">IFERROR(IF(I17="","",I18/I17),"")</f>
        <v/>
      </c>
      <c r="J19" s="79" t="str">
        <f aca="false">IFERROR(IF(J17="","",J18/J17),"")</f>
        <v/>
      </c>
      <c r="K19" s="79" t="str">
        <f aca="false">IFERROR(IF(K17="","",K18/K17),"")</f>
        <v/>
      </c>
      <c r="L19" s="79" t="str">
        <f aca="false">IFERROR(IF(L17="","",L18/L17),"")</f>
        <v/>
      </c>
      <c r="M19" s="79" t="str">
        <f aca="false">IFERROR(IF(M17="","",M18/M17),"")</f>
        <v/>
      </c>
      <c r="N19" s="79" t="str">
        <f aca="false">IFERROR(IF(N17="","",N18/N17),"")</f>
        <v/>
      </c>
      <c r="O19" s="79" t="str">
        <f aca="false">IFERROR(IF(O17="","",O18/O17),"")</f>
        <v/>
      </c>
      <c r="P19" s="79" t="str">
        <f aca="false">IFERROR(IF(P17="","",P18/P17),"")</f>
        <v/>
      </c>
      <c r="Q19" s="79" t="str">
        <f aca="false">IFERROR(IF(Q17="","",Q18/Q17),"")</f>
        <v/>
      </c>
      <c r="R19" s="79" t="str">
        <f aca="false">IFERROR(IF(R17="","",R18/R17),"")</f>
        <v/>
      </c>
      <c r="S19" s="79" t="str">
        <f aca="false">IFERROR(IF(S17="","",S18/S17),"")</f>
        <v/>
      </c>
      <c r="T19" s="79" t="str">
        <f aca="false">IFERROR(IF(T17="","",T18/T17),"")</f>
        <v/>
      </c>
      <c r="U19" s="79" t="str">
        <f aca="false">IFERROR(IF(U17="","",U18/U17),"")</f>
        <v/>
      </c>
      <c r="V19" s="79" t="str">
        <f aca="false">IFERROR(IF(V17="","",V18/V17),"")</f>
        <v/>
      </c>
      <c r="W19" s="79" t="str">
        <f aca="false">IFERROR(IF(W17="","",W18/W17),"")</f>
        <v/>
      </c>
      <c r="X19" s="79" t="str">
        <f aca="false">IFERROR(IF(X17="","",X18/X17),"")</f>
        <v/>
      </c>
      <c r="Y19" s="79" t="str">
        <f aca="false">IFERROR(IF(Y17="","",Y18/Y17),"")</f>
        <v/>
      </c>
      <c r="Z19" s="79" t="str">
        <f aca="false">IFERROR(IF(Z17="","",Z18/Z17),"")</f>
        <v/>
      </c>
      <c r="AA19" s="79" t="str">
        <f aca="false">IFERROR(IF(AA17="","",AA18/AA17),"")</f>
        <v/>
      </c>
      <c r="AB19" s="79" t="str">
        <f aca="false">IFERROR(IF(AB17="","",AB18/AB17),"")</f>
        <v/>
      </c>
    </row>
    <row r="21" customFormat="false" ht="18" hidden="false" customHeight="true" outlineLevel="0" collapsed="false">
      <c r="B21" s="43" t="s">
        <v>421</v>
      </c>
      <c r="C21" s="16" t="s">
        <v>432</v>
      </c>
      <c r="D21" s="16" t="s">
        <v>1629</v>
      </c>
      <c r="E21" s="50"/>
      <c r="F21" s="50"/>
      <c r="G21" s="50"/>
      <c r="H21" s="50"/>
      <c r="I21" s="50"/>
      <c r="J21" s="50"/>
      <c r="K21" s="50"/>
      <c r="L21" s="50"/>
      <c r="M21" s="50"/>
      <c r="N21" s="50"/>
      <c r="O21" s="50"/>
      <c r="P21" s="50"/>
      <c r="Q21" s="50"/>
      <c r="R21" s="50"/>
      <c r="S21" s="50"/>
      <c r="T21" s="50"/>
      <c r="U21" s="50"/>
      <c r="V21" s="50"/>
      <c r="W21" s="50"/>
      <c r="X21" s="50"/>
      <c r="Y21" s="50"/>
      <c r="Z21" s="50"/>
      <c r="AA21" s="50"/>
      <c r="AB21" s="50"/>
    </row>
    <row r="22" customFormat="false" ht="18" hidden="false" customHeight="true" outlineLevel="0" collapsed="false">
      <c r="D22" s="16" t="s">
        <v>1630</v>
      </c>
      <c r="E22" s="50"/>
      <c r="F22" s="50"/>
      <c r="G22" s="50"/>
      <c r="H22" s="50"/>
      <c r="I22" s="50"/>
      <c r="J22" s="50"/>
      <c r="K22" s="50"/>
      <c r="L22" s="50"/>
      <c r="M22" s="50"/>
      <c r="N22" s="50"/>
      <c r="O22" s="50"/>
      <c r="P22" s="50"/>
      <c r="Q22" s="50"/>
      <c r="R22" s="50"/>
      <c r="S22" s="50"/>
      <c r="T22" s="50"/>
      <c r="U22" s="50"/>
      <c r="V22" s="50"/>
      <c r="W22" s="50"/>
      <c r="X22" s="50"/>
      <c r="Y22" s="50"/>
      <c r="Z22" s="50"/>
      <c r="AA22" s="50"/>
      <c r="AB22" s="50"/>
    </row>
    <row r="23" customFormat="false" ht="18" hidden="false" customHeight="true" outlineLevel="0" collapsed="false">
      <c r="D23" s="43" t="s">
        <v>1631</v>
      </c>
      <c r="E23" s="79" t="str">
        <f aca="false">IFERROR(IF(E21="","",E22/E21),"")</f>
        <v/>
      </c>
      <c r="F23" s="79" t="str">
        <f aca="false">IFERROR(IF(F21="","",F22/F21),"")</f>
        <v/>
      </c>
      <c r="G23" s="79" t="str">
        <f aca="false">IFERROR(IF(G21="","",G22/G21),"")</f>
        <v/>
      </c>
      <c r="H23" s="79" t="str">
        <f aca="false">IFERROR(IF(H21="","",H22/H21),"")</f>
        <v/>
      </c>
      <c r="I23" s="79" t="str">
        <f aca="false">IFERROR(IF(I21="","",I22/I21),"")</f>
        <v/>
      </c>
      <c r="J23" s="79" t="str">
        <f aca="false">IFERROR(IF(J21="","",J22/J21),"")</f>
        <v/>
      </c>
      <c r="K23" s="79" t="str">
        <f aca="false">IFERROR(IF(K21="","",K22/K21),"")</f>
        <v/>
      </c>
      <c r="L23" s="79" t="str">
        <f aca="false">IFERROR(IF(L21="","",L22/L21),"")</f>
        <v/>
      </c>
      <c r="M23" s="79" t="str">
        <f aca="false">IFERROR(IF(M21="","",M22/M21),"")</f>
        <v/>
      </c>
      <c r="N23" s="79" t="str">
        <f aca="false">IFERROR(IF(N21="","",N22/N21),"")</f>
        <v/>
      </c>
      <c r="O23" s="79" t="str">
        <f aca="false">IFERROR(IF(O21="","",O22/O21),"")</f>
        <v/>
      </c>
      <c r="P23" s="79" t="str">
        <f aca="false">IFERROR(IF(P21="","",P22/P21),"")</f>
        <v/>
      </c>
      <c r="Q23" s="79" t="str">
        <f aca="false">IFERROR(IF(Q21="","",Q22/Q21),"")</f>
        <v/>
      </c>
      <c r="R23" s="79" t="str">
        <f aca="false">IFERROR(IF(R21="","",R22/R21),"")</f>
        <v/>
      </c>
      <c r="S23" s="79" t="str">
        <f aca="false">IFERROR(IF(S21="","",S22/S21),"")</f>
        <v/>
      </c>
      <c r="T23" s="79" t="str">
        <f aca="false">IFERROR(IF(T21="","",T22/T21),"")</f>
        <v/>
      </c>
      <c r="U23" s="79" t="str">
        <f aca="false">IFERROR(IF(U21="","",U22/U21),"")</f>
        <v/>
      </c>
      <c r="V23" s="79" t="str">
        <f aca="false">IFERROR(IF(V21="","",V22/V21),"")</f>
        <v/>
      </c>
      <c r="W23" s="79" t="str">
        <f aca="false">IFERROR(IF(W21="","",W22/W21),"")</f>
        <v/>
      </c>
      <c r="X23" s="79" t="str">
        <f aca="false">IFERROR(IF(X21="","",X22/X21),"")</f>
        <v/>
      </c>
      <c r="Y23" s="79" t="str">
        <f aca="false">IFERROR(IF(Y21="","",Y22/Y21),"")</f>
        <v/>
      </c>
      <c r="Z23" s="79" t="str">
        <f aca="false">IFERROR(IF(Z21="","",Z22/Z21),"")</f>
        <v/>
      </c>
      <c r="AA23" s="79" t="str">
        <f aca="false">IFERROR(IF(AA21="","",AA22/AA21),"")</f>
        <v/>
      </c>
      <c r="AB23" s="79" t="str">
        <f aca="false">IFERROR(IF(AB21="","",AB22/AB21),"")</f>
        <v/>
      </c>
    </row>
    <row r="24" customFormat="false" ht="18" hidden="false" customHeight="true" outlineLevel="0" collapsed="false">
      <c r="B24" s="43"/>
      <c r="C24" s="16" t="s">
        <v>433</v>
      </c>
      <c r="D24" s="16" t="s">
        <v>1629</v>
      </c>
      <c r="E24" s="50"/>
      <c r="F24" s="50"/>
      <c r="G24" s="50"/>
      <c r="H24" s="50"/>
      <c r="I24" s="50"/>
      <c r="J24" s="50"/>
      <c r="K24" s="50"/>
      <c r="L24" s="50"/>
      <c r="M24" s="50"/>
      <c r="N24" s="50"/>
      <c r="O24" s="50"/>
      <c r="P24" s="50"/>
      <c r="Q24" s="50"/>
      <c r="R24" s="50"/>
      <c r="S24" s="50"/>
      <c r="T24" s="50"/>
      <c r="U24" s="50"/>
      <c r="V24" s="50"/>
      <c r="W24" s="50"/>
      <c r="X24" s="50"/>
      <c r="Y24" s="50"/>
      <c r="Z24" s="50"/>
      <c r="AA24" s="50"/>
      <c r="AB24" s="50"/>
    </row>
    <row r="25" customFormat="false" ht="18" hidden="false" customHeight="true" outlineLevel="0" collapsed="false">
      <c r="D25" s="16" t="s">
        <v>1630</v>
      </c>
      <c r="E25" s="50"/>
      <c r="F25" s="50"/>
      <c r="G25" s="50"/>
      <c r="H25" s="50"/>
      <c r="I25" s="50"/>
      <c r="J25" s="50"/>
      <c r="K25" s="50"/>
      <c r="L25" s="50"/>
      <c r="M25" s="50"/>
      <c r="N25" s="50"/>
      <c r="O25" s="50"/>
      <c r="P25" s="50"/>
      <c r="Q25" s="50"/>
      <c r="R25" s="50"/>
      <c r="S25" s="50"/>
      <c r="T25" s="50"/>
      <c r="U25" s="50"/>
      <c r="V25" s="50"/>
      <c r="W25" s="50"/>
      <c r="X25" s="50"/>
      <c r="Y25" s="50"/>
      <c r="Z25" s="50"/>
      <c r="AA25" s="50"/>
      <c r="AB25" s="50"/>
    </row>
    <row r="26" customFormat="false" ht="18" hidden="false" customHeight="true" outlineLevel="0" collapsed="false">
      <c r="D26" s="43" t="s">
        <v>1631</v>
      </c>
      <c r="E26" s="79" t="str">
        <f aca="false">IFERROR(IF(E24="","",E25/E24),"")</f>
        <v/>
      </c>
      <c r="F26" s="79" t="str">
        <f aca="false">IFERROR(IF(F24="","",F25/F24),"")</f>
        <v/>
      </c>
      <c r="G26" s="79" t="str">
        <f aca="false">IFERROR(IF(G24="","",G25/G24),"")</f>
        <v/>
      </c>
      <c r="H26" s="79" t="str">
        <f aca="false">IFERROR(IF(H24="","",H25/H24),"")</f>
        <v/>
      </c>
      <c r="I26" s="79" t="str">
        <f aca="false">IFERROR(IF(I24="","",I25/I24),"")</f>
        <v/>
      </c>
      <c r="J26" s="79" t="str">
        <f aca="false">IFERROR(IF(J24="","",J25/J24),"")</f>
        <v/>
      </c>
      <c r="K26" s="79" t="str">
        <f aca="false">IFERROR(IF(K24="","",K25/K24),"")</f>
        <v/>
      </c>
      <c r="L26" s="79" t="str">
        <f aca="false">IFERROR(IF(L24="","",L25/L24),"")</f>
        <v/>
      </c>
      <c r="M26" s="79" t="str">
        <f aca="false">IFERROR(IF(M24="","",M25/M24),"")</f>
        <v/>
      </c>
      <c r="N26" s="79" t="str">
        <f aca="false">IFERROR(IF(N24="","",N25/N24),"")</f>
        <v/>
      </c>
      <c r="O26" s="79" t="str">
        <f aca="false">IFERROR(IF(O24="","",O25/O24),"")</f>
        <v/>
      </c>
      <c r="P26" s="79" t="str">
        <f aca="false">IFERROR(IF(P24="","",P25/P24),"")</f>
        <v/>
      </c>
      <c r="Q26" s="79" t="str">
        <f aca="false">IFERROR(IF(Q24="","",Q25/Q24),"")</f>
        <v/>
      </c>
      <c r="R26" s="79" t="str">
        <f aca="false">IFERROR(IF(R24="","",R25/R24),"")</f>
        <v/>
      </c>
      <c r="S26" s="79" t="str">
        <f aca="false">IFERROR(IF(S24="","",S25/S24),"")</f>
        <v/>
      </c>
      <c r="T26" s="79" t="str">
        <f aca="false">IFERROR(IF(T24="","",T25/T24),"")</f>
        <v/>
      </c>
      <c r="U26" s="79" t="str">
        <f aca="false">IFERROR(IF(U24="","",U25/U24),"")</f>
        <v/>
      </c>
      <c r="V26" s="79" t="str">
        <f aca="false">IFERROR(IF(V24="","",V25/V24),"")</f>
        <v/>
      </c>
      <c r="W26" s="79" t="str">
        <f aca="false">IFERROR(IF(W24="","",W25/W24),"")</f>
        <v/>
      </c>
      <c r="X26" s="79" t="str">
        <f aca="false">IFERROR(IF(X24="","",X25/X24),"")</f>
        <v/>
      </c>
      <c r="Y26" s="79" t="str">
        <f aca="false">IFERROR(IF(Y24="","",Y25/Y24),"")</f>
        <v/>
      </c>
      <c r="Z26" s="79" t="str">
        <f aca="false">IFERROR(IF(Z24="","",Z25/Z24),"")</f>
        <v/>
      </c>
      <c r="AA26" s="79" t="str">
        <f aca="false">IFERROR(IF(AA24="","",AA25/AA24),"")</f>
        <v/>
      </c>
      <c r="AB26" s="79" t="str">
        <f aca="false">IFERROR(IF(AB24="","",AB25/AB24),"")</f>
        <v/>
      </c>
    </row>
    <row r="28" customFormat="false" ht="18" hidden="false" customHeight="true" outlineLevel="0" collapsed="false">
      <c r="B28" s="43" t="s">
        <v>422</v>
      </c>
      <c r="C28" s="16" t="s">
        <v>432</v>
      </c>
      <c r="D28" s="16" t="s">
        <v>1629</v>
      </c>
      <c r="E28" s="50"/>
      <c r="F28" s="50"/>
      <c r="G28" s="50"/>
      <c r="H28" s="50"/>
      <c r="I28" s="50"/>
      <c r="J28" s="50"/>
      <c r="K28" s="50"/>
      <c r="L28" s="50"/>
      <c r="M28" s="50"/>
      <c r="N28" s="50"/>
      <c r="O28" s="50"/>
      <c r="P28" s="50"/>
      <c r="Q28" s="50"/>
      <c r="R28" s="50"/>
      <c r="S28" s="50"/>
      <c r="T28" s="50"/>
      <c r="U28" s="50"/>
      <c r="V28" s="50"/>
      <c r="W28" s="50"/>
      <c r="X28" s="50"/>
      <c r="Y28" s="50"/>
      <c r="Z28" s="50"/>
      <c r="AA28" s="50"/>
      <c r="AB28" s="50"/>
    </row>
    <row r="29" customFormat="false" ht="18" hidden="false" customHeight="true" outlineLevel="0" collapsed="false">
      <c r="D29" s="16" t="s">
        <v>1630</v>
      </c>
      <c r="E29" s="50"/>
      <c r="F29" s="50"/>
      <c r="G29" s="50"/>
      <c r="H29" s="50"/>
      <c r="I29" s="50"/>
      <c r="J29" s="50"/>
      <c r="K29" s="50"/>
      <c r="L29" s="50"/>
      <c r="M29" s="50"/>
      <c r="N29" s="50"/>
      <c r="O29" s="50"/>
      <c r="P29" s="50"/>
      <c r="Q29" s="50"/>
      <c r="R29" s="50"/>
      <c r="S29" s="50"/>
      <c r="T29" s="50"/>
      <c r="U29" s="50"/>
      <c r="V29" s="50"/>
      <c r="W29" s="50"/>
      <c r="X29" s="50"/>
      <c r="Y29" s="50"/>
      <c r="Z29" s="50"/>
      <c r="AA29" s="50"/>
      <c r="AB29" s="50"/>
    </row>
    <row r="30" customFormat="false" ht="18" hidden="false" customHeight="true" outlineLevel="0" collapsed="false">
      <c r="D30" s="43" t="s">
        <v>1631</v>
      </c>
      <c r="E30" s="79" t="str">
        <f aca="false">IFERROR(IF(E28="","",E29/E28),"")</f>
        <v/>
      </c>
      <c r="F30" s="79" t="str">
        <f aca="false">IFERROR(IF(F28="","",F29/F28),"")</f>
        <v/>
      </c>
      <c r="G30" s="79" t="str">
        <f aca="false">IFERROR(IF(G28="","",G29/G28),"")</f>
        <v/>
      </c>
      <c r="H30" s="79" t="str">
        <f aca="false">IFERROR(IF(H28="","",H29/H28),"")</f>
        <v/>
      </c>
      <c r="I30" s="79" t="str">
        <f aca="false">IFERROR(IF(I28="","",I29/I28),"")</f>
        <v/>
      </c>
      <c r="J30" s="79" t="str">
        <f aca="false">IFERROR(IF(J28="","",J29/J28),"")</f>
        <v/>
      </c>
      <c r="K30" s="79" t="str">
        <f aca="false">IFERROR(IF(K28="","",K29/K28),"")</f>
        <v/>
      </c>
      <c r="L30" s="79" t="str">
        <f aca="false">IFERROR(IF(L28="","",L29/L28),"")</f>
        <v/>
      </c>
      <c r="M30" s="79" t="str">
        <f aca="false">IFERROR(IF(M28="","",M29/M28),"")</f>
        <v/>
      </c>
      <c r="N30" s="79" t="str">
        <f aca="false">IFERROR(IF(N28="","",N29/N28),"")</f>
        <v/>
      </c>
      <c r="O30" s="79" t="str">
        <f aca="false">IFERROR(IF(O28="","",O29/O28),"")</f>
        <v/>
      </c>
      <c r="P30" s="79" t="str">
        <f aca="false">IFERROR(IF(P28="","",P29/P28),"")</f>
        <v/>
      </c>
      <c r="Q30" s="79" t="str">
        <f aca="false">IFERROR(IF(Q28="","",Q29/Q28),"")</f>
        <v/>
      </c>
      <c r="R30" s="79" t="str">
        <f aca="false">IFERROR(IF(R28="","",R29/R28),"")</f>
        <v/>
      </c>
      <c r="S30" s="79" t="str">
        <f aca="false">IFERROR(IF(S28="","",S29/S28),"")</f>
        <v/>
      </c>
      <c r="T30" s="79" t="str">
        <f aca="false">IFERROR(IF(T28="","",T29/T28),"")</f>
        <v/>
      </c>
      <c r="U30" s="79" t="str">
        <f aca="false">IFERROR(IF(U28="","",U29/U28),"")</f>
        <v/>
      </c>
      <c r="V30" s="79" t="str">
        <f aca="false">IFERROR(IF(V28="","",V29/V28),"")</f>
        <v/>
      </c>
      <c r="W30" s="79" t="str">
        <f aca="false">IFERROR(IF(W28="","",W29/W28),"")</f>
        <v/>
      </c>
      <c r="X30" s="79" t="str">
        <f aca="false">IFERROR(IF(X28="","",X29/X28),"")</f>
        <v/>
      </c>
      <c r="Y30" s="79" t="str">
        <f aca="false">IFERROR(IF(Y28="","",Y29/Y28),"")</f>
        <v/>
      </c>
      <c r="Z30" s="79" t="str">
        <f aca="false">IFERROR(IF(Z28="","",Z29/Z28),"")</f>
        <v/>
      </c>
      <c r="AA30" s="79" t="str">
        <f aca="false">IFERROR(IF(AA28="","",AA29/AA28),"")</f>
        <v/>
      </c>
      <c r="AB30" s="79" t="str">
        <f aca="false">IFERROR(IF(AB28="","",AB29/AB28),"")</f>
        <v/>
      </c>
    </row>
    <row r="31" customFormat="false" ht="18" hidden="false" customHeight="true" outlineLevel="0" collapsed="false">
      <c r="B31" s="43"/>
      <c r="C31" s="16" t="s">
        <v>433</v>
      </c>
      <c r="D31" s="16" t="s">
        <v>1629</v>
      </c>
      <c r="E31" s="50"/>
      <c r="F31" s="50"/>
      <c r="G31" s="50"/>
      <c r="H31" s="50"/>
      <c r="I31" s="50"/>
      <c r="J31" s="50"/>
      <c r="K31" s="50"/>
      <c r="L31" s="50"/>
      <c r="M31" s="50"/>
      <c r="N31" s="50"/>
      <c r="O31" s="50"/>
      <c r="P31" s="50"/>
      <c r="Q31" s="50"/>
      <c r="R31" s="50"/>
      <c r="S31" s="50"/>
      <c r="T31" s="50"/>
      <c r="U31" s="50"/>
      <c r="V31" s="50"/>
      <c r="W31" s="50"/>
      <c r="X31" s="50"/>
      <c r="Y31" s="50"/>
      <c r="Z31" s="50"/>
      <c r="AA31" s="50"/>
      <c r="AB31" s="50"/>
    </row>
    <row r="32" customFormat="false" ht="18" hidden="false" customHeight="true" outlineLevel="0" collapsed="false">
      <c r="D32" s="16" t="s">
        <v>1630</v>
      </c>
      <c r="E32" s="50"/>
      <c r="F32" s="50"/>
      <c r="G32" s="50"/>
      <c r="H32" s="50"/>
      <c r="I32" s="50"/>
      <c r="J32" s="50"/>
      <c r="K32" s="50"/>
      <c r="L32" s="50"/>
      <c r="M32" s="50"/>
      <c r="N32" s="50"/>
      <c r="O32" s="50"/>
      <c r="P32" s="50"/>
      <c r="Q32" s="50"/>
      <c r="R32" s="50"/>
      <c r="S32" s="50"/>
      <c r="T32" s="50"/>
      <c r="U32" s="50"/>
      <c r="V32" s="50"/>
      <c r="W32" s="50"/>
      <c r="X32" s="50"/>
      <c r="Y32" s="50"/>
      <c r="Z32" s="50"/>
      <c r="AA32" s="50"/>
      <c r="AB32" s="50"/>
    </row>
    <row r="33" customFormat="false" ht="18" hidden="false" customHeight="true" outlineLevel="0" collapsed="false">
      <c r="D33" s="43" t="s">
        <v>1631</v>
      </c>
      <c r="E33" s="79" t="str">
        <f aca="false">IFERROR(IF(E31="","",E32/E31),"")</f>
        <v/>
      </c>
      <c r="F33" s="79" t="str">
        <f aca="false">IFERROR(IF(F31="","",F32/F31),"")</f>
        <v/>
      </c>
      <c r="G33" s="79" t="str">
        <f aca="false">IFERROR(IF(G31="","",G32/G31),"")</f>
        <v/>
      </c>
      <c r="H33" s="79" t="str">
        <f aca="false">IFERROR(IF(H31="","",H32/H31),"")</f>
        <v/>
      </c>
      <c r="I33" s="79" t="str">
        <f aca="false">IFERROR(IF(I31="","",I32/I31),"")</f>
        <v/>
      </c>
      <c r="J33" s="79" t="str">
        <f aca="false">IFERROR(IF(J31="","",J32/J31),"")</f>
        <v/>
      </c>
      <c r="K33" s="79" t="str">
        <f aca="false">IFERROR(IF(K31="","",K32/K31),"")</f>
        <v/>
      </c>
      <c r="L33" s="79" t="str">
        <f aca="false">IFERROR(IF(L31="","",L32/L31),"")</f>
        <v/>
      </c>
      <c r="M33" s="79" t="str">
        <f aca="false">IFERROR(IF(M31="","",M32/M31),"")</f>
        <v/>
      </c>
      <c r="N33" s="79" t="str">
        <f aca="false">IFERROR(IF(N31="","",N32/N31),"")</f>
        <v/>
      </c>
      <c r="O33" s="79" t="str">
        <f aca="false">IFERROR(IF(O31="","",O32/O31),"")</f>
        <v/>
      </c>
      <c r="P33" s="79" t="str">
        <f aca="false">IFERROR(IF(P31="","",P32/P31),"")</f>
        <v/>
      </c>
      <c r="Q33" s="79" t="str">
        <f aca="false">IFERROR(IF(Q31="","",Q32/Q31),"")</f>
        <v/>
      </c>
      <c r="R33" s="79" t="str">
        <f aca="false">IFERROR(IF(R31="","",R32/R31),"")</f>
        <v/>
      </c>
      <c r="S33" s="79" t="str">
        <f aca="false">IFERROR(IF(S31="","",S32/S31),"")</f>
        <v/>
      </c>
      <c r="T33" s="79" t="str">
        <f aca="false">IFERROR(IF(T31="","",T32/T31),"")</f>
        <v/>
      </c>
      <c r="U33" s="79" t="str">
        <f aca="false">IFERROR(IF(U31="","",U32/U31),"")</f>
        <v/>
      </c>
      <c r="V33" s="79" t="str">
        <f aca="false">IFERROR(IF(V31="","",V32/V31),"")</f>
        <v/>
      </c>
      <c r="W33" s="79" t="str">
        <f aca="false">IFERROR(IF(W31="","",W32/W31),"")</f>
        <v/>
      </c>
      <c r="X33" s="79" t="str">
        <f aca="false">IFERROR(IF(X31="","",X32/X31),"")</f>
        <v/>
      </c>
      <c r="Y33" s="79" t="str">
        <f aca="false">IFERROR(IF(Y31="","",Y32/Y31),"")</f>
        <v/>
      </c>
      <c r="Z33" s="79" t="str">
        <f aca="false">IFERROR(IF(Z31="","",Z32/Z31),"")</f>
        <v/>
      </c>
      <c r="AA33" s="79" t="str">
        <f aca="false">IFERROR(IF(AA31="","",AA32/AA31),"")</f>
        <v/>
      </c>
      <c r="AB33" s="79" t="str">
        <f aca="false">IFERROR(IF(AB31="","",AB32/AB31),"")</f>
        <v/>
      </c>
    </row>
    <row r="35" customFormat="false" ht="21.75" hidden="false" customHeight="true" outlineLevel="0" collapsed="false">
      <c r="B35" s="9" t="s">
        <v>1632</v>
      </c>
      <c r="C35" s="9"/>
      <c r="D35" s="9"/>
      <c r="E35" s="9"/>
      <c r="F35" s="9"/>
      <c r="G35" s="9"/>
      <c r="H35" s="9"/>
      <c r="I35" s="9"/>
      <c r="J35" s="9"/>
      <c r="K35" s="9"/>
      <c r="L35" s="9"/>
    </row>
    <row r="36" customFormat="false" ht="22.35" hidden="false" customHeight="true" outlineLevel="0" collapsed="false">
      <c r="B36" s="13" t="s">
        <v>1633</v>
      </c>
      <c r="C36" s="13"/>
      <c r="D36" s="13"/>
      <c r="E36" s="13"/>
      <c r="F36" s="13"/>
      <c r="G36" s="13"/>
      <c r="H36" s="13"/>
      <c r="I36" s="13"/>
      <c r="J36" s="13"/>
      <c r="K36" s="13"/>
      <c r="L36" s="13"/>
    </row>
    <row r="38" customFormat="false" ht="19.5" hidden="false" customHeight="true" outlineLevel="0" collapsed="false">
      <c r="B38" s="15" t="s">
        <v>416</v>
      </c>
      <c r="C38" s="15" t="s">
        <v>1634</v>
      </c>
      <c r="E38" s="19" t="s">
        <v>233</v>
      </c>
      <c r="F38" s="19"/>
      <c r="G38" s="19"/>
      <c r="H38" s="19" t="s">
        <v>234</v>
      </c>
      <c r="I38" s="19"/>
      <c r="J38" s="19"/>
      <c r="K38" s="19" t="s">
        <v>235</v>
      </c>
      <c r="L38" s="19"/>
      <c r="M38" s="19"/>
      <c r="N38" s="19" t="s">
        <v>236</v>
      </c>
      <c r="O38" s="19"/>
      <c r="P38" s="19"/>
      <c r="Q38" s="19" t="s">
        <v>237</v>
      </c>
      <c r="R38" s="19"/>
      <c r="S38" s="19"/>
      <c r="T38" s="19" t="s">
        <v>238</v>
      </c>
      <c r="U38" s="19"/>
      <c r="V38" s="19"/>
      <c r="W38" s="19" t="s">
        <v>239</v>
      </c>
      <c r="X38" s="19"/>
      <c r="Y38" s="19"/>
      <c r="Z38" s="19" t="s">
        <v>240</v>
      </c>
      <c r="AA38" s="19"/>
      <c r="AB38" s="19"/>
    </row>
    <row r="39" customFormat="false" ht="15.75" hidden="false" customHeight="true" outlineLevel="0" collapsed="false">
      <c r="B39" s="15"/>
      <c r="C39" s="15"/>
      <c r="E39" s="20" t="s">
        <v>242</v>
      </c>
      <c r="F39" s="20" t="s">
        <v>243</v>
      </c>
      <c r="G39" s="20" t="s">
        <v>244</v>
      </c>
      <c r="H39" s="20" t="s">
        <v>245</v>
      </c>
      <c r="I39" s="20" t="s">
        <v>246</v>
      </c>
      <c r="J39" s="20" t="s">
        <v>247</v>
      </c>
      <c r="K39" s="20" t="s">
        <v>248</v>
      </c>
      <c r="L39" s="20" t="s">
        <v>249</v>
      </c>
      <c r="M39" s="20" t="s">
        <v>250</v>
      </c>
      <c r="N39" s="20" t="s">
        <v>251</v>
      </c>
      <c r="O39" s="20" t="s">
        <v>252</v>
      </c>
      <c r="P39" s="20" t="s">
        <v>253</v>
      </c>
      <c r="Q39" s="20" t="s">
        <v>254</v>
      </c>
      <c r="R39" s="20" t="s">
        <v>255</v>
      </c>
      <c r="S39" s="20" t="s">
        <v>256</v>
      </c>
      <c r="T39" s="20" t="s">
        <v>257</v>
      </c>
      <c r="U39" s="20" t="s">
        <v>258</v>
      </c>
      <c r="V39" s="20" t="s">
        <v>259</v>
      </c>
      <c r="W39" s="20" t="s">
        <v>260</v>
      </c>
      <c r="X39" s="20" t="s">
        <v>261</v>
      </c>
      <c r="Y39" s="20" t="s">
        <v>262</v>
      </c>
      <c r="Z39" s="20" t="s">
        <v>263</v>
      </c>
      <c r="AA39" s="20" t="s">
        <v>264</v>
      </c>
      <c r="AB39" s="20" t="s">
        <v>265</v>
      </c>
    </row>
    <row r="40" customFormat="false" ht="18" hidden="false" customHeight="true" outlineLevel="0" collapsed="false">
      <c r="B40" s="43" t="s">
        <v>419</v>
      </c>
      <c r="C40" s="16" t="s">
        <v>432</v>
      </c>
      <c r="E40" s="44" t="str">
        <f aca="false">E9</f>
        <v/>
      </c>
      <c r="F40" s="44" t="str">
        <f aca="false">F9</f>
        <v/>
      </c>
      <c r="G40" s="44" t="str">
        <f aca="false">G9</f>
        <v/>
      </c>
      <c r="H40" s="44" t="str">
        <f aca="false">H9</f>
        <v/>
      </c>
      <c r="I40" s="44" t="str">
        <f aca="false">I9</f>
        <v/>
      </c>
      <c r="J40" s="44" t="str">
        <f aca="false">J9</f>
        <v/>
      </c>
      <c r="K40" s="44" t="str">
        <f aca="false">K9</f>
        <v/>
      </c>
      <c r="L40" s="44" t="str">
        <f aca="false">L9</f>
        <v/>
      </c>
      <c r="M40" s="44" t="str">
        <f aca="false">M9</f>
        <v/>
      </c>
      <c r="N40" s="44" t="str">
        <f aca="false">N9</f>
        <v/>
      </c>
      <c r="O40" s="44" t="str">
        <f aca="false">O9</f>
        <v/>
      </c>
      <c r="P40" s="44" t="str">
        <f aca="false">P9</f>
        <v/>
      </c>
      <c r="Q40" s="44" t="str">
        <f aca="false">Q9</f>
        <v/>
      </c>
      <c r="R40" s="44" t="str">
        <f aca="false">R9</f>
        <v/>
      </c>
      <c r="S40" s="44" t="str">
        <f aca="false">S9</f>
        <v/>
      </c>
      <c r="T40" s="44" t="str">
        <f aca="false">T9</f>
        <v/>
      </c>
      <c r="U40" s="44" t="str">
        <f aca="false">U9</f>
        <v/>
      </c>
      <c r="V40" s="44" t="str">
        <f aca="false">V9</f>
        <v/>
      </c>
      <c r="W40" s="44" t="str">
        <f aca="false">W9</f>
        <v/>
      </c>
      <c r="X40" s="44" t="str">
        <f aca="false">X9</f>
        <v/>
      </c>
      <c r="Y40" s="44" t="str">
        <f aca="false">Y9</f>
        <v/>
      </c>
      <c r="Z40" s="44" t="str">
        <f aca="false">Z9</f>
        <v/>
      </c>
      <c r="AA40" s="44" t="str">
        <f aca="false">AA9</f>
        <v/>
      </c>
      <c r="AB40" s="44" t="str">
        <f aca="false">AB9</f>
        <v/>
      </c>
    </row>
    <row r="41" customFormat="false" ht="18" hidden="false" customHeight="true" outlineLevel="0" collapsed="false">
      <c r="B41" s="43" t="s">
        <v>419</v>
      </c>
      <c r="C41" s="16" t="s">
        <v>433</v>
      </c>
      <c r="E41" s="44" t="str">
        <f aca="false">E12</f>
        <v/>
      </c>
      <c r="F41" s="44" t="str">
        <f aca="false">F12</f>
        <v/>
      </c>
      <c r="G41" s="44" t="str">
        <f aca="false">G12</f>
        <v/>
      </c>
      <c r="H41" s="44" t="str">
        <f aca="false">H12</f>
        <v/>
      </c>
      <c r="I41" s="44" t="str">
        <f aca="false">I12</f>
        <v/>
      </c>
      <c r="J41" s="44" t="str">
        <f aca="false">J12</f>
        <v/>
      </c>
      <c r="K41" s="44" t="str">
        <f aca="false">K12</f>
        <v/>
      </c>
      <c r="L41" s="44" t="str">
        <f aca="false">L12</f>
        <v/>
      </c>
      <c r="M41" s="44" t="str">
        <f aca="false">M12</f>
        <v/>
      </c>
      <c r="N41" s="44" t="str">
        <f aca="false">N12</f>
        <v/>
      </c>
      <c r="O41" s="44" t="str">
        <f aca="false">O12</f>
        <v/>
      </c>
      <c r="P41" s="44" t="str">
        <f aca="false">P12</f>
        <v/>
      </c>
      <c r="Q41" s="44" t="str">
        <f aca="false">Q12</f>
        <v/>
      </c>
      <c r="R41" s="44" t="str">
        <f aca="false">R12</f>
        <v/>
      </c>
      <c r="S41" s="44" t="str">
        <f aca="false">S12</f>
        <v/>
      </c>
      <c r="T41" s="44" t="str">
        <f aca="false">T12</f>
        <v/>
      </c>
      <c r="U41" s="44" t="str">
        <f aca="false">U12</f>
        <v/>
      </c>
      <c r="V41" s="44" t="str">
        <f aca="false">V12</f>
        <v/>
      </c>
      <c r="W41" s="44" t="str">
        <f aca="false">W12</f>
        <v/>
      </c>
      <c r="X41" s="44" t="str">
        <f aca="false">X12</f>
        <v/>
      </c>
      <c r="Y41" s="44" t="str">
        <f aca="false">Y12</f>
        <v/>
      </c>
      <c r="Z41" s="44" t="str">
        <f aca="false">Z12</f>
        <v/>
      </c>
      <c r="AA41" s="44" t="str">
        <f aca="false">AA12</f>
        <v/>
      </c>
      <c r="AB41" s="44" t="str">
        <f aca="false">AB12</f>
        <v/>
      </c>
    </row>
    <row r="42" customFormat="false" ht="18" hidden="false" customHeight="true" outlineLevel="0" collapsed="false">
      <c r="B42" s="43" t="s">
        <v>420</v>
      </c>
      <c r="C42" s="16" t="s">
        <v>432</v>
      </c>
      <c r="E42" s="44" t="str">
        <f aca="false">E16</f>
        <v/>
      </c>
      <c r="F42" s="44" t="str">
        <f aca="false">F16</f>
        <v/>
      </c>
      <c r="G42" s="44" t="str">
        <f aca="false">G16</f>
        <v/>
      </c>
      <c r="H42" s="44" t="str">
        <f aca="false">H16</f>
        <v/>
      </c>
      <c r="I42" s="44" t="str">
        <f aca="false">I16</f>
        <v/>
      </c>
      <c r="J42" s="44" t="str">
        <f aca="false">J16</f>
        <v/>
      </c>
      <c r="K42" s="44" t="str">
        <f aca="false">K16</f>
        <v/>
      </c>
      <c r="L42" s="44" t="str">
        <f aca="false">L16</f>
        <v/>
      </c>
      <c r="M42" s="44" t="str">
        <f aca="false">M16</f>
        <v/>
      </c>
      <c r="N42" s="44" t="str">
        <f aca="false">N16</f>
        <v/>
      </c>
      <c r="O42" s="44" t="str">
        <f aca="false">O16</f>
        <v/>
      </c>
      <c r="P42" s="44" t="str">
        <f aca="false">P16</f>
        <v/>
      </c>
      <c r="Q42" s="44" t="str">
        <f aca="false">Q16</f>
        <v/>
      </c>
      <c r="R42" s="44" t="str">
        <f aca="false">R16</f>
        <v/>
      </c>
      <c r="S42" s="44" t="str">
        <f aca="false">S16</f>
        <v/>
      </c>
      <c r="T42" s="44" t="str">
        <f aca="false">T16</f>
        <v/>
      </c>
      <c r="U42" s="44" t="str">
        <f aca="false">U16</f>
        <v/>
      </c>
      <c r="V42" s="44" t="str">
        <f aca="false">V16</f>
        <v/>
      </c>
      <c r="W42" s="44" t="str">
        <f aca="false">W16</f>
        <v/>
      </c>
      <c r="X42" s="44" t="str">
        <f aca="false">X16</f>
        <v/>
      </c>
      <c r="Y42" s="44" t="str">
        <f aca="false">Y16</f>
        <v/>
      </c>
      <c r="Z42" s="44" t="str">
        <f aca="false">Z16</f>
        <v/>
      </c>
      <c r="AA42" s="44" t="str">
        <f aca="false">AA16</f>
        <v/>
      </c>
      <c r="AB42" s="44" t="str">
        <f aca="false">AB16</f>
        <v/>
      </c>
    </row>
    <row r="43" customFormat="false" ht="18" hidden="false" customHeight="true" outlineLevel="0" collapsed="false">
      <c r="B43" s="43" t="s">
        <v>420</v>
      </c>
      <c r="C43" s="16" t="s">
        <v>433</v>
      </c>
      <c r="E43" s="44" t="str">
        <f aca="false">E19</f>
        <v/>
      </c>
      <c r="F43" s="44" t="str">
        <f aca="false">F19</f>
        <v/>
      </c>
      <c r="G43" s="44" t="str">
        <f aca="false">G19</f>
        <v/>
      </c>
      <c r="H43" s="44" t="str">
        <f aca="false">H19</f>
        <v/>
      </c>
      <c r="I43" s="44" t="str">
        <f aca="false">I19</f>
        <v/>
      </c>
      <c r="J43" s="44" t="str">
        <f aca="false">J19</f>
        <v/>
      </c>
      <c r="K43" s="44" t="str">
        <f aca="false">K19</f>
        <v/>
      </c>
      <c r="L43" s="44" t="str">
        <f aca="false">L19</f>
        <v/>
      </c>
      <c r="M43" s="44" t="str">
        <f aca="false">M19</f>
        <v/>
      </c>
      <c r="N43" s="44" t="str">
        <f aca="false">N19</f>
        <v/>
      </c>
      <c r="O43" s="44" t="str">
        <f aca="false">O19</f>
        <v/>
      </c>
      <c r="P43" s="44" t="str">
        <f aca="false">P19</f>
        <v/>
      </c>
      <c r="Q43" s="44" t="str">
        <f aca="false">Q19</f>
        <v/>
      </c>
      <c r="R43" s="44" t="str">
        <f aca="false">R19</f>
        <v/>
      </c>
      <c r="S43" s="44" t="str">
        <f aca="false">S19</f>
        <v/>
      </c>
      <c r="T43" s="44" t="str">
        <f aca="false">T19</f>
        <v/>
      </c>
      <c r="U43" s="44" t="str">
        <f aca="false">U19</f>
        <v/>
      </c>
      <c r="V43" s="44" t="str">
        <f aca="false">V19</f>
        <v/>
      </c>
      <c r="W43" s="44" t="str">
        <f aca="false">W19</f>
        <v/>
      </c>
      <c r="X43" s="44" t="str">
        <f aca="false">X19</f>
        <v/>
      </c>
      <c r="Y43" s="44" t="str">
        <f aca="false">Y19</f>
        <v/>
      </c>
      <c r="Z43" s="44" t="str">
        <f aca="false">Z19</f>
        <v/>
      </c>
      <c r="AA43" s="44" t="str">
        <f aca="false">AA19</f>
        <v/>
      </c>
      <c r="AB43" s="44" t="str">
        <f aca="false">AB19</f>
        <v/>
      </c>
    </row>
    <row r="44" customFormat="false" ht="18" hidden="false" customHeight="true" outlineLevel="0" collapsed="false">
      <c r="B44" s="43" t="s">
        <v>421</v>
      </c>
      <c r="C44" s="16" t="s">
        <v>432</v>
      </c>
      <c r="E44" s="44" t="str">
        <f aca="false">E23</f>
        <v/>
      </c>
      <c r="F44" s="44" t="str">
        <f aca="false">F23</f>
        <v/>
      </c>
      <c r="G44" s="44" t="str">
        <f aca="false">G23</f>
        <v/>
      </c>
      <c r="H44" s="44" t="str">
        <f aca="false">H23</f>
        <v/>
      </c>
      <c r="I44" s="44" t="str">
        <f aca="false">I23</f>
        <v/>
      </c>
      <c r="J44" s="44" t="str">
        <f aca="false">J23</f>
        <v/>
      </c>
      <c r="K44" s="44" t="str">
        <f aca="false">K23</f>
        <v/>
      </c>
      <c r="L44" s="44" t="str">
        <f aca="false">L23</f>
        <v/>
      </c>
      <c r="M44" s="44" t="str">
        <f aca="false">M23</f>
        <v/>
      </c>
      <c r="N44" s="44" t="str">
        <f aca="false">N23</f>
        <v/>
      </c>
      <c r="O44" s="44" t="str">
        <f aca="false">O23</f>
        <v/>
      </c>
      <c r="P44" s="44" t="str">
        <f aca="false">P23</f>
        <v/>
      </c>
      <c r="Q44" s="44" t="str">
        <f aca="false">Q23</f>
        <v/>
      </c>
      <c r="R44" s="44" t="str">
        <f aca="false">R23</f>
        <v/>
      </c>
      <c r="S44" s="44" t="str">
        <f aca="false">S23</f>
        <v/>
      </c>
      <c r="T44" s="44" t="str">
        <f aca="false">T23</f>
        <v/>
      </c>
      <c r="U44" s="44" t="str">
        <f aca="false">U23</f>
        <v/>
      </c>
      <c r="V44" s="44" t="str">
        <f aca="false">V23</f>
        <v/>
      </c>
      <c r="W44" s="44" t="str">
        <f aca="false">W23</f>
        <v/>
      </c>
      <c r="X44" s="44" t="str">
        <f aca="false">X23</f>
        <v/>
      </c>
      <c r="Y44" s="44" t="str">
        <f aca="false">Y23</f>
        <v/>
      </c>
      <c r="Z44" s="44" t="str">
        <f aca="false">Z23</f>
        <v/>
      </c>
      <c r="AA44" s="44" t="str">
        <f aca="false">AA23</f>
        <v/>
      </c>
      <c r="AB44" s="44" t="str">
        <f aca="false">AB23</f>
        <v/>
      </c>
    </row>
    <row r="45" customFormat="false" ht="18" hidden="false" customHeight="true" outlineLevel="0" collapsed="false">
      <c r="B45" s="43" t="s">
        <v>421</v>
      </c>
      <c r="C45" s="16" t="s">
        <v>433</v>
      </c>
      <c r="E45" s="44" t="str">
        <f aca="false">E26</f>
        <v/>
      </c>
      <c r="F45" s="44" t="str">
        <f aca="false">F26</f>
        <v/>
      </c>
      <c r="G45" s="44" t="str">
        <f aca="false">G26</f>
        <v/>
      </c>
      <c r="H45" s="44" t="str">
        <f aca="false">H26</f>
        <v/>
      </c>
      <c r="I45" s="44" t="str">
        <f aca="false">I26</f>
        <v/>
      </c>
      <c r="J45" s="44" t="str">
        <f aca="false">J26</f>
        <v/>
      </c>
      <c r="K45" s="44" t="str">
        <f aca="false">K26</f>
        <v/>
      </c>
      <c r="L45" s="44" t="str">
        <f aca="false">L26</f>
        <v/>
      </c>
      <c r="M45" s="44" t="str">
        <f aca="false">M26</f>
        <v/>
      </c>
      <c r="N45" s="44" t="str">
        <f aca="false">N26</f>
        <v/>
      </c>
      <c r="O45" s="44" t="str">
        <f aca="false">O26</f>
        <v/>
      </c>
      <c r="P45" s="44" t="str">
        <f aca="false">P26</f>
        <v/>
      </c>
      <c r="Q45" s="44" t="str">
        <f aca="false">Q26</f>
        <v/>
      </c>
      <c r="R45" s="44" t="str">
        <f aca="false">R26</f>
        <v/>
      </c>
      <c r="S45" s="44" t="str">
        <f aca="false">S26</f>
        <v/>
      </c>
      <c r="T45" s="44" t="str">
        <f aca="false">T26</f>
        <v/>
      </c>
      <c r="U45" s="44" t="str">
        <f aca="false">U26</f>
        <v/>
      </c>
      <c r="V45" s="44" t="str">
        <f aca="false">V26</f>
        <v/>
      </c>
      <c r="W45" s="44" t="str">
        <f aca="false">W26</f>
        <v/>
      </c>
      <c r="X45" s="44" t="str">
        <f aca="false">X26</f>
        <v/>
      </c>
      <c r="Y45" s="44" t="str">
        <f aca="false">Y26</f>
        <v/>
      </c>
      <c r="Z45" s="44" t="str">
        <f aca="false">Z26</f>
        <v/>
      </c>
      <c r="AA45" s="44" t="str">
        <f aca="false">AA26</f>
        <v/>
      </c>
      <c r="AB45" s="44" t="str">
        <f aca="false">AB26</f>
        <v/>
      </c>
    </row>
    <row r="46" customFormat="false" ht="18" hidden="false" customHeight="true" outlineLevel="0" collapsed="false">
      <c r="B46" s="43" t="s">
        <v>422</v>
      </c>
      <c r="C46" s="16" t="s">
        <v>432</v>
      </c>
      <c r="E46" s="44" t="str">
        <f aca="false">E30</f>
        <v/>
      </c>
      <c r="F46" s="44" t="str">
        <f aca="false">F30</f>
        <v/>
      </c>
      <c r="G46" s="44" t="str">
        <f aca="false">G30</f>
        <v/>
      </c>
      <c r="H46" s="44" t="str">
        <f aca="false">H30</f>
        <v/>
      </c>
      <c r="I46" s="44" t="str">
        <f aca="false">I30</f>
        <v/>
      </c>
      <c r="J46" s="44" t="str">
        <f aca="false">J30</f>
        <v/>
      </c>
      <c r="K46" s="44" t="str">
        <f aca="false">K30</f>
        <v/>
      </c>
      <c r="L46" s="44" t="str">
        <f aca="false">L30</f>
        <v/>
      </c>
      <c r="M46" s="44" t="str">
        <f aca="false">M30</f>
        <v/>
      </c>
      <c r="N46" s="44" t="str">
        <f aca="false">N30</f>
        <v/>
      </c>
      <c r="O46" s="44" t="str">
        <f aca="false">O30</f>
        <v/>
      </c>
      <c r="P46" s="44" t="str">
        <f aca="false">P30</f>
        <v/>
      </c>
      <c r="Q46" s="44" t="str">
        <f aca="false">Q30</f>
        <v/>
      </c>
      <c r="R46" s="44" t="str">
        <f aca="false">R30</f>
        <v/>
      </c>
      <c r="S46" s="44" t="str">
        <f aca="false">S30</f>
        <v/>
      </c>
      <c r="T46" s="44" t="str">
        <f aca="false">T30</f>
        <v/>
      </c>
      <c r="U46" s="44" t="str">
        <f aca="false">U30</f>
        <v/>
      </c>
      <c r="V46" s="44" t="str">
        <f aca="false">V30</f>
        <v/>
      </c>
      <c r="W46" s="44" t="str">
        <f aca="false">W30</f>
        <v/>
      </c>
      <c r="X46" s="44" t="str">
        <f aca="false">X30</f>
        <v/>
      </c>
      <c r="Y46" s="44" t="str">
        <f aca="false">Y30</f>
        <v/>
      </c>
      <c r="Z46" s="44" t="str">
        <f aca="false">Z30</f>
        <v/>
      </c>
      <c r="AA46" s="44" t="str">
        <f aca="false">AA30</f>
        <v/>
      </c>
      <c r="AB46" s="44" t="str">
        <f aca="false">AB30</f>
        <v/>
      </c>
    </row>
    <row r="47" customFormat="false" ht="18" hidden="false" customHeight="true" outlineLevel="0" collapsed="false">
      <c r="B47" s="43" t="s">
        <v>422</v>
      </c>
      <c r="C47" s="16" t="s">
        <v>433</v>
      </c>
      <c r="E47" s="44" t="str">
        <f aca="false">E33</f>
        <v/>
      </c>
      <c r="F47" s="44" t="str">
        <f aca="false">F33</f>
        <v/>
      </c>
      <c r="G47" s="44" t="str">
        <f aca="false">G33</f>
        <v/>
      </c>
      <c r="H47" s="44" t="str">
        <f aca="false">H33</f>
        <v/>
      </c>
      <c r="I47" s="44" t="str">
        <f aca="false">I33</f>
        <v/>
      </c>
      <c r="J47" s="44" t="str">
        <f aca="false">J33</f>
        <v/>
      </c>
      <c r="K47" s="44" t="str">
        <f aca="false">K33</f>
        <v/>
      </c>
      <c r="L47" s="44" t="str">
        <f aca="false">L33</f>
        <v/>
      </c>
      <c r="M47" s="44" t="str">
        <f aca="false">M33</f>
        <v/>
      </c>
      <c r="N47" s="44" t="str">
        <f aca="false">N33</f>
        <v/>
      </c>
      <c r="O47" s="44" t="str">
        <f aca="false">O33</f>
        <v/>
      </c>
      <c r="P47" s="44" t="str">
        <f aca="false">P33</f>
        <v/>
      </c>
      <c r="Q47" s="44" t="str">
        <f aca="false">Q33</f>
        <v/>
      </c>
      <c r="R47" s="44" t="str">
        <f aca="false">R33</f>
        <v/>
      </c>
      <c r="S47" s="44" t="str">
        <f aca="false">S33</f>
        <v/>
      </c>
      <c r="T47" s="44" t="str">
        <f aca="false">T33</f>
        <v/>
      </c>
      <c r="U47" s="44" t="str">
        <f aca="false">U33</f>
        <v/>
      </c>
      <c r="V47" s="44" t="str">
        <f aca="false">V33</f>
        <v/>
      </c>
      <c r="W47" s="44" t="str">
        <f aca="false">W33</f>
        <v/>
      </c>
      <c r="X47" s="44" t="str">
        <f aca="false">X33</f>
        <v/>
      </c>
      <c r="Y47" s="44" t="str">
        <f aca="false">Y33</f>
        <v/>
      </c>
      <c r="Z47" s="44" t="str">
        <f aca="false">Z33</f>
        <v/>
      </c>
      <c r="AA47" s="44" t="str">
        <f aca="false">AA33</f>
        <v/>
      </c>
      <c r="AB47" s="44" t="str">
        <f aca="false">AB33</f>
        <v/>
      </c>
    </row>
  </sheetData>
  <mergeCells count="25">
    <mergeCell ref="B2:L2"/>
    <mergeCell ref="B3:L3"/>
    <mergeCell ref="B5:B6"/>
    <mergeCell ref="C5:C6"/>
    <mergeCell ref="D5:D6"/>
    <mergeCell ref="E5:G5"/>
    <mergeCell ref="H5:J5"/>
    <mergeCell ref="K5:M5"/>
    <mergeCell ref="N5:P5"/>
    <mergeCell ref="Q5:S5"/>
    <mergeCell ref="T5:V5"/>
    <mergeCell ref="W5:Y5"/>
    <mergeCell ref="Z5:AB5"/>
    <mergeCell ref="B35:L35"/>
    <mergeCell ref="B36:L36"/>
    <mergeCell ref="B38:B39"/>
    <mergeCell ref="C38:C39"/>
    <mergeCell ref="E38:G38"/>
    <mergeCell ref="H38:J38"/>
    <mergeCell ref="K38:M38"/>
    <mergeCell ref="N38:P38"/>
    <mergeCell ref="Q38:S38"/>
    <mergeCell ref="T38:V38"/>
    <mergeCell ref="W38:Y38"/>
    <mergeCell ref="Z38:AB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F2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5" ySplit="6" topLeftCell="F7" activePane="bottomRight" state="frozen"/>
      <selection pane="topLeft" activeCell="A1" activeCellId="0" sqref="A1"/>
      <selection pane="topRight" activeCell="F1" activeCellId="0" sqref="F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42"/>
    <col collapsed="false" customWidth="true" hidden="false" outlineLevel="0" max="4" min="4" style="0" width="15"/>
    <col collapsed="false" customWidth="true" hidden="false" outlineLevel="0" max="5" min="5" style="0" width="13"/>
    <col collapsed="false" customWidth="true" hidden="false" outlineLevel="0" max="29" min="6" style="0" width="9"/>
    <col collapsed="false" customWidth="true" hidden="false" outlineLevel="0" max="30" min="30" style="0" width="13"/>
    <col collapsed="false" customWidth="true" hidden="false" outlineLevel="0" max="31" min="31" style="0" width="9"/>
    <col collapsed="false" customWidth="true" hidden="false" outlineLevel="0" max="32" min="32" style="0" width="13"/>
  </cols>
  <sheetData>
    <row r="2" customFormat="false" ht="21.75" hidden="false" customHeight="true" outlineLevel="0" collapsed="false">
      <c r="B2" s="12" t="s">
        <v>1635</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customFormat="false" ht="22.35" hidden="false" customHeight="true" outlineLevel="0" collapsed="false">
      <c r="B3" s="13" t="s">
        <v>1636</v>
      </c>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row>
    <row r="5" customFormat="false" ht="30" hidden="false" customHeight="true" outlineLevel="0" collapsed="false">
      <c r="B5" s="18" t="s">
        <v>1637</v>
      </c>
      <c r="C5" s="18" t="s">
        <v>1638</v>
      </c>
      <c r="D5" s="18" t="s">
        <v>1639</v>
      </c>
      <c r="E5" s="18" t="s">
        <v>1640</v>
      </c>
      <c r="F5" s="19" t="s">
        <v>1641</v>
      </c>
      <c r="G5" s="19"/>
      <c r="H5" s="19"/>
      <c r="I5" s="19"/>
      <c r="J5" s="19"/>
      <c r="K5" s="19"/>
      <c r="L5" s="19"/>
      <c r="M5" s="19"/>
      <c r="N5" s="19"/>
      <c r="O5" s="19"/>
      <c r="P5" s="19"/>
      <c r="Q5" s="19"/>
      <c r="R5" s="19"/>
      <c r="S5" s="19"/>
      <c r="T5" s="19"/>
      <c r="U5" s="19"/>
      <c r="V5" s="19"/>
      <c r="W5" s="19"/>
      <c r="X5" s="19"/>
      <c r="Y5" s="19"/>
      <c r="Z5" s="19"/>
      <c r="AA5" s="19"/>
      <c r="AB5" s="19"/>
      <c r="AC5" s="19"/>
      <c r="AD5" s="18" t="s">
        <v>1642</v>
      </c>
      <c r="AE5" s="18" t="s">
        <v>1643</v>
      </c>
      <c r="AF5" s="18" t="s">
        <v>1644</v>
      </c>
    </row>
    <row r="6" customFormat="false" ht="24" hidden="false" customHeight="true" outlineLevel="0" collapsed="false">
      <c r="B6" s="18"/>
      <c r="C6" s="18"/>
      <c r="D6" s="18"/>
      <c r="E6" s="18"/>
      <c r="F6" s="20" t="s">
        <v>242</v>
      </c>
      <c r="G6" s="20" t="s">
        <v>243</v>
      </c>
      <c r="H6" s="20" t="s">
        <v>244</v>
      </c>
      <c r="I6" s="20" t="s">
        <v>245</v>
      </c>
      <c r="J6" s="20" t="s">
        <v>246</v>
      </c>
      <c r="K6" s="20" t="s">
        <v>247</v>
      </c>
      <c r="L6" s="20" t="s">
        <v>248</v>
      </c>
      <c r="M6" s="20" t="s">
        <v>249</v>
      </c>
      <c r="N6" s="20" t="s">
        <v>250</v>
      </c>
      <c r="O6" s="20" t="s">
        <v>251</v>
      </c>
      <c r="P6" s="20" t="s">
        <v>252</v>
      </c>
      <c r="Q6" s="20" t="s">
        <v>253</v>
      </c>
      <c r="R6" s="20" t="s">
        <v>254</v>
      </c>
      <c r="S6" s="20" t="s">
        <v>255</v>
      </c>
      <c r="T6" s="20" t="s">
        <v>256</v>
      </c>
      <c r="U6" s="20" t="s">
        <v>257</v>
      </c>
      <c r="V6" s="20" t="s">
        <v>258</v>
      </c>
      <c r="W6" s="20" t="s">
        <v>259</v>
      </c>
      <c r="X6" s="20" t="s">
        <v>260</v>
      </c>
      <c r="Y6" s="20" t="s">
        <v>261</v>
      </c>
      <c r="Z6" s="20" t="s">
        <v>262</v>
      </c>
      <c r="AA6" s="20" t="s">
        <v>263</v>
      </c>
      <c r="AB6" s="20" t="s">
        <v>264</v>
      </c>
      <c r="AC6" s="20" t="s">
        <v>265</v>
      </c>
      <c r="AD6" s="18"/>
      <c r="AE6" s="18"/>
      <c r="AF6" s="18"/>
    </row>
    <row r="7" customFormat="false" ht="21.75" hidden="false" customHeight="true" outlineLevel="0" collapsed="false">
      <c r="B7" s="22" t="s">
        <v>1101</v>
      </c>
      <c r="C7" s="16" t="s">
        <v>1645</v>
      </c>
      <c r="D7" s="83" t="n">
        <v>40000</v>
      </c>
      <c r="E7" s="73" t="n">
        <f aca="false">D7/143</f>
        <v>279.72027972028</v>
      </c>
      <c r="F7" s="84"/>
      <c r="G7" s="84"/>
      <c r="H7" s="84"/>
      <c r="I7" s="84"/>
      <c r="J7" s="84"/>
      <c r="K7" s="84"/>
      <c r="L7" s="84"/>
      <c r="M7" s="84"/>
      <c r="N7" s="84"/>
      <c r="O7" s="84"/>
      <c r="P7" s="84"/>
      <c r="Q7" s="84"/>
      <c r="R7" s="84"/>
      <c r="S7" s="84"/>
      <c r="T7" s="84"/>
      <c r="U7" s="84"/>
      <c r="V7" s="84"/>
      <c r="W7" s="84"/>
      <c r="X7" s="84"/>
      <c r="Y7" s="84"/>
      <c r="Z7" s="84"/>
      <c r="AA7" s="84"/>
      <c r="AB7" s="84"/>
      <c r="AC7" s="84"/>
      <c r="AD7" s="83" t="n">
        <f aca="false">IFERROR(LOOKUP(2,1/(F7:AC7&lt;&gt;""),F7:AC7),0)</f>
        <v>0</v>
      </c>
      <c r="AE7" s="68" t="n">
        <f aca="false">IFERROR(IF(D7=0,"",AD7/D7),"")</f>
        <v>0</v>
      </c>
      <c r="AF7" s="73" t="n">
        <f aca="false">(D7-AD7)/143</f>
        <v>279.72027972028</v>
      </c>
    </row>
    <row r="8" customFormat="false" ht="21.75" hidden="false" customHeight="true" outlineLevel="0" collapsed="false">
      <c r="B8" s="22" t="s">
        <v>1125</v>
      </c>
      <c r="C8" s="16" t="s">
        <v>1646</v>
      </c>
      <c r="D8" s="83" t="n">
        <v>27698100</v>
      </c>
      <c r="E8" s="73" t="n">
        <f aca="false">D8/143</f>
        <v>193693.006993007</v>
      </c>
      <c r="F8" s="84"/>
      <c r="G8" s="84"/>
      <c r="H8" s="84"/>
      <c r="I8" s="84"/>
      <c r="J8" s="84"/>
      <c r="K8" s="84"/>
      <c r="L8" s="84"/>
      <c r="M8" s="84"/>
      <c r="N8" s="84"/>
      <c r="O8" s="84"/>
      <c r="P8" s="84"/>
      <c r="Q8" s="84"/>
      <c r="R8" s="84"/>
      <c r="S8" s="84"/>
      <c r="T8" s="84"/>
      <c r="U8" s="84"/>
      <c r="V8" s="84"/>
      <c r="W8" s="84"/>
      <c r="X8" s="84"/>
      <c r="Y8" s="84"/>
      <c r="Z8" s="84"/>
      <c r="AA8" s="84"/>
      <c r="AB8" s="84"/>
      <c r="AC8" s="84"/>
      <c r="AD8" s="83" t="n">
        <f aca="false">IFERROR(LOOKUP(2,1/(F8:AC8&lt;&gt;""),F8:AC8),0)</f>
        <v>0</v>
      </c>
      <c r="AE8" s="68" t="n">
        <f aca="false">IFERROR(IF(D8=0,"",AD8/D8),"")</f>
        <v>0</v>
      </c>
      <c r="AF8" s="73" t="n">
        <f aca="false">(D8-AD8)/143</f>
        <v>193693.006993007</v>
      </c>
    </row>
    <row r="9" customFormat="false" ht="21.75" hidden="false" customHeight="true" outlineLevel="0" collapsed="false">
      <c r="B9" s="22" t="s">
        <v>1184</v>
      </c>
      <c r="C9" s="16" t="s">
        <v>1647</v>
      </c>
      <c r="D9" s="83" t="n">
        <v>2460240</v>
      </c>
      <c r="E9" s="73" t="n">
        <f aca="false">D9/143</f>
        <v>17204.4755244755</v>
      </c>
      <c r="F9" s="84"/>
      <c r="G9" s="84"/>
      <c r="H9" s="84"/>
      <c r="I9" s="84"/>
      <c r="J9" s="84"/>
      <c r="K9" s="84"/>
      <c r="L9" s="84"/>
      <c r="M9" s="84"/>
      <c r="N9" s="84"/>
      <c r="O9" s="84"/>
      <c r="P9" s="84"/>
      <c r="Q9" s="84"/>
      <c r="R9" s="84"/>
      <c r="S9" s="84"/>
      <c r="T9" s="84"/>
      <c r="U9" s="84"/>
      <c r="V9" s="84"/>
      <c r="W9" s="84"/>
      <c r="X9" s="84"/>
      <c r="Y9" s="84"/>
      <c r="Z9" s="84"/>
      <c r="AA9" s="84"/>
      <c r="AB9" s="84"/>
      <c r="AC9" s="84"/>
      <c r="AD9" s="83" t="n">
        <f aca="false">IFERROR(LOOKUP(2,1/(F9:AC9&lt;&gt;""),F9:AC9),0)</f>
        <v>0</v>
      </c>
      <c r="AE9" s="68" t="n">
        <f aca="false">IFERROR(IF(D9=0,"",AD9/D9),"")</f>
        <v>0</v>
      </c>
      <c r="AF9" s="73" t="n">
        <f aca="false">(D9-AD9)/143</f>
        <v>17204.4755244755</v>
      </c>
    </row>
    <row r="10" customFormat="false" ht="21.75" hidden="false" customHeight="true" outlineLevel="0" collapsed="false">
      <c r="B10" s="22" t="s">
        <v>1193</v>
      </c>
      <c r="C10" s="16" t="s">
        <v>1648</v>
      </c>
      <c r="D10" s="83" t="n">
        <v>1248000</v>
      </c>
      <c r="E10" s="73" t="n">
        <f aca="false">D10/143</f>
        <v>8727.27272727273</v>
      </c>
      <c r="F10" s="84"/>
      <c r="G10" s="84"/>
      <c r="H10" s="84"/>
      <c r="I10" s="84"/>
      <c r="J10" s="84"/>
      <c r="K10" s="84"/>
      <c r="L10" s="84"/>
      <c r="M10" s="84"/>
      <c r="N10" s="84"/>
      <c r="O10" s="84"/>
      <c r="P10" s="84"/>
      <c r="Q10" s="84"/>
      <c r="R10" s="84"/>
      <c r="S10" s="84"/>
      <c r="T10" s="84"/>
      <c r="U10" s="84"/>
      <c r="V10" s="84"/>
      <c r="W10" s="84"/>
      <c r="X10" s="84"/>
      <c r="Y10" s="84"/>
      <c r="Z10" s="84"/>
      <c r="AA10" s="84"/>
      <c r="AB10" s="84"/>
      <c r="AC10" s="84"/>
      <c r="AD10" s="83" t="n">
        <f aca="false">IFERROR(LOOKUP(2,1/(F10:AC10&lt;&gt;""),F10:AC10),0)</f>
        <v>0</v>
      </c>
      <c r="AE10" s="68" t="n">
        <f aca="false">IFERROR(IF(D10=0,"",AD10/D10),"")</f>
        <v>0</v>
      </c>
      <c r="AF10" s="73" t="n">
        <f aca="false">(D10-AD10)/143</f>
        <v>8727.27272727273</v>
      </c>
    </row>
    <row r="11" customFormat="false" ht="21.75" hidden="false" customHeight="true" outlineLevel="0" collapsed="false">
      <c r="B11" s="22" t="s">
        <v>1250</v>
      </c>
      <c r="C11" s="16" t="s">
        <v>1649</v>
      </c>
      <c r="D11" s="83" t="n">
        <v>1095160</v>
      </c>
      <c r="E11" s="73" t="n">
        <f aca="false">D11/143</f>
        <v>7658.46153846154</v>
      </c>
      <c r="F11" s="84"/>
      <c r="G11" s="84"/>
      <c r="H11" s="84"/>
      <c r="I11" s="84"/>
      <c r="J11" s="84"/>
      <c r="K11" s="84"/>
      <c r="L11" s="84"/>
      <c r="M11" s="84"/>
      <c r="N11" s="84"/>
      <c r="O11" s="84"/>
      <c r="P11" s="84"/>
      <c r="Q11" s="84"/>
      <c r="R11" s="84"/>
      <c r="S11" s="84"/>
      <c r="T11" s="84"/>
      <c r="U11" s="84"/>
      <c r="V11" s="84"/>
      <c r="W11" s="84"/>
      <c r="X11" s="84"/>
      <c r="Y11" s="84"/>
      <c r="Z11" s="84"/>
      <c r="AA11" s="84"/>
      <c r="AB11" s="84"/>
      <c r="AC11" s="84"/>
      <c r="AD11" s="83" t="n">
        <f aca="false">IFERROR(LOOKUP(2,1/(F11:AC11&lt;&gt;""),F11:AC11),0)</f>
        <v>0</v>
      </c>
      <c r="AE11" s="68" t="n">
        <f aca="false">IFERROR(IF(D11=0,"",AD11/D11),"")</f>
        <v>0</v>
      </c>
      <c r="AF11" s="73" t="n">
        <f aca="false">(D11-AD11)/143</f>
        <v>7658.46153846154</v>
      </c>
    </row>
    <row r="12" customFormat="false" ht="21.75" hidden="false" customHeight="true" outlineLevel="0" collapsed="false">
      <c r="B12" s="22" t="s">
        <v>300</v>
      </c>
      <c r="C12" s="16" t="s">
        <v>1650</v>
      </c>
      <c r="D12" s="83" t="n">
        <v>1963000</v>
      </c>
      <c r="E12" s="73" t="n">
        <f aca="false">D12/143</f>
        <v>13727.2727272727</v>
      </c>
      <c r="F12" s="84"/>
      <c r="G12" s="84"/>
      <c r="H12" s="84"/>
      <c r="I12" s="84"/>
      <c r="J12" s="84"/>
      <c r="K12" s="84"/>
      <c r="L12" s="84"/>
      <c r="M12" s="84"/>
      <c r="N12" s="84"/>
      <c r="O12" s="84"/>
      <c r="P12" s="84"/>
      <c r="Q12" s="84"/>
      <c r="R12" s="84"/>
      <c r="S12" s="84"/>
      <c r="T12" s="84"/>
      <c r="U12" s="84"/>
      <c r="V12" s="84"/>
      <c r="W12" s="84"/>
      <c r="X12" s="84"/>
      <c r="Y12" s="84"/>
      <c r="Z12" s="84"/>
      <c r="AA12" s="84"/>
      <c r="AB12" s="84"/>
      <c r="AC12" s="84"/>
      <c r="AD12" s="83" t="n">
        <f aca="false">IFERROR(LOOKUP(2,1/(F12:AC12&lt;&gt;""),F12:AC12),0)</f>
        <v>0</v>
      </c>
      <c r="AE12" s="68" t="n">
        <f aca="false">IFERROR(IF(D12=0,"",AD12/D12),"")</f>
        <v>0</v>
      </c>
      <c r="AF12" s="73" t="n">
        <f aca="false">(D12-AD12)/143</f>
        <v>13727.2727272727</v>
      </c>
    </row>
    <row r="13" customFormat="false" ht="21.75" hidden="false" customHeight="true" outlineLevel="0" collapsed="false">
      <c r="B13" s="22" t="s">
        <v>1651</v>
      </c>
      <c r="C13" s="16" t="s">
        <v>1652</v>
      </c>
      <c r="D13" s="83" t="n">
        <v>0</v>
      </c>
      <c r="E13" s="73" t="n">
        <f aca="false">D13/143</f>
        <v>0</v>
      </c>
      <c r="F13" s="84"/>
      <c r="G13" s="84"/>
      <c r="H13" s="84"/>
      <c r="I13" s="84"/>
      <c r="J13" s="84"/>
      <c r="K13" s="84"/>
      <c r="L13" s="84"/>
      <c r="M13" s="84"/>
      <c r="N13" s="84"/>
      <c r="O13" s="84"/>
      <c r="P13" s="84"/>
      <c r="Q13" s="84"/>
      <c r="R13" s="84"/>
      <c r="S13" s="84"/>
      <c r="T13" s="84"/>
      <c r="U13" s="84"/>
      <c r="V13" s="84"/>
      <c r="W13" s="84"/>
      <c r="X13" s="84"/>
      <c r="Y13" s="84"/>
      <c r="Z13" s="84"/>
      <c r="AA13" s="84"/>
      <c r="AB13" s="84"/>
      <c r="AC13" s="84"/>
      <c r="AD13" s="83" t="n">
        <f aca="false">IFERROR(LOOKUP(2,1/(F13:AC13&lt;&gt;""),F13:AC13),0)</f>
        <v>0</v>
      </c>
      <c r="AE13" s="68" t="str">
        <f aca="false">IFERROR(IF(D13=0,"",AD13/D13),"")</f>
        <v/>
      </c>
      <c r="AF13" s="73" t="n">
        <f aca="false">(D13-AD13)/143</f>
        <v>0</v>
      </c>
    </row>
    <row r="14" customFormat="false" ht="21.75" hidden="false" customHeight="true" outlineLevel="0" collapsed="false">
      <c r="B14" s="22" t="s">
        <v>1300</v>
      </c>
      <c r="C14" s="16" t="s">
        <v>1653</v>
      </c>
      <c r="D14" s="83" t="n">
        <v>10455800</v>
      </c>
      <c r="E14" s="73" t="n">
        <f aca="false">D14/143</f>
        <v>73117.4825174825</v>
      </c>
      <c r="F14" s="84"/>
      <c r="G14" s="84"/>
      <c r="H14" s="84"/>
      <c r="I14" s="84"/>
      <c r="J14" s="84"/>
      <c r="K14" s="84"/>
      <c r="L14" s="84"/>
      <c r="M14" s="84"/>
      <c r="N14" s="84"/>
      <c r="O14" s="84"/>
      <c r="P14" s="84"/>
      <c r="Q14" s="84"/>
      <c r="R14" s="84"/>
      <c r="S14" s="84"/>
      <c r="T14" s="84"/>
      <c r="U14" s="84"/>
      <c r="V14" s="84"/>
      <c r="W14" s="84"/>
      <c r="X14" s="84"/>
      <c r="Y14" s="84"/>
      <c r="Z14" s="84"/>
      <c r="AA14" s="84"/>
      <c r="AB14" s="84"/>
      <c r="AC14" s="84"/>
      <c r="AD14" s="83" t="n">
        <f aca="false">IFERROR(LOOKUP(2,1/(F14:AC14&lt;&gt;""),F14:AC14),0)</f>
        <v>0</v>
      </c>
      <c r="AE14" s="68" t="n">
        <f aca="false">IFERROR(IF(D14=0,"",AD14/D14),"")</f>
        <v>0</v>
      </c>
      <c r="AF14" s="73" t="n">
        <f aca="false">(D14-AD14)/143</f>
        <v>73117.4825174825</v>
      </c>
    </row>
    <row r="15" customFormat="false" ht="21.75" hidden="false" customHeight="true" outlineLevel="0" collapsed="false">
      <c r="B15" s="22" t="s">
        <v>1332</v>
      </c>
      <c r="C15" s="16" t="s">
        <v>1654</v>
      </c>
      <c r="D15" s="83" t="n">
        <v>11822800</v>
      </c>
      <c r="E15" s="73" t="n">
        <f aca="false">D15/143</f>
        <v>82676.9230769231</v>
      </c>
      <c r="F15" s="84"/>
      <c r="G15" s="84"/>
      <c r="H15" s="84"/>
      <c r="I15" s="84"/>
      <c r="J15" s="84"/>
      <c r="K15" s="84"/>
      <c r="L15" s="84"/>
      <c r="M15" s="84"/>
      <c r="N15" s="84"/>
      <c r="O15" s="84"/>
      <c r="P15" s="84"/>
      <c r="Q15" s="84"/>
      <c r="R15" s="84"/>
      <c r="S15" s="84"/>
      <c r="T15" s="84"/>
      <c r="U15" s="84"/>
      <c r="V15" s="84"/>
      <c r="W15" s="84"/>
      <c r="X15" s="84"/>
      <c r="Y15" s="84"/>
      <c r="Z15" s="84"/>
      <c r="AA15" s="84"/>
      <c r="AB15" s="84"/>
      <c r="AC15" s="84"/>
      <c r="AD15" s="83" t="n">
        <f aca="false">IFERROR(LOOKUP(2,1/(F15:AC15&lt;&gt;""),F15:AC15),0)</f>
        <v>0</v>
      </c>
      <c r="AE15" s="68" t="n">
        <f aca="false">IFERROR(IF(D15=0,"",AD15/D15),"")</f>
        <v>0</v>
      </c>
      <c r="AF15" s="73" t="n">
        <f aca="false">(D15-AD15)/143</f>
        <v>82676.9230769231</v>
      </c>
    </row>
    <row r="16" customFormat="false" ht="21.75" hidden="false" customHeight="true" outlineLevel="0" collapsed="false">
      <c r="B16" s="22" t="s">
        <v>1361</v>
      </c>
      <c r="C16" s="16" t="s">
        <v>1655</v>
      </c>
      <c r="D16" s="83" t="n">
        <v>295200</v>
      </c>
      <c r="E16" s="73" t="n">
        <f aca="false">D16/143</f>
        <v>2064.33566433566</v>
      </c>
      <c r="F16" s="84"/>
      <c r="G16" s="84"/>
      <c r="H16" s="84"/>
      <c r="I16" s="84"/>
      <c r="J16" s="84"/>
      <c r="K16" s="84"/>
      <c r="L16" s="84"/>
      <c r="M16" s="84"/>
      <c r="N16" s="84"/>
      <c r="O16" s="84"/>
      <c r="P16" s="84"/>
      <c r="Q16" s="84"/>
      <c r="R16" s="84"/>
      <c r="S16" s="84"/>
      <c r="T16" s="84"/>
      <c r="U16" s="84"/>
      <c r="V16" s="84"/>
      <c r="W16" s="84"/>
      <c r="X16" s="84"/>
      <c r="Y16" s="84"/>
      <c r="Z16" s="84"/>
      <c r="AA16" s="84"/>
      <c r="AB16" s="84"/>
      <c r="AC16" s="84"/>
      <c r="AD16" s="83" t="n">
        <f aca="false">IFERROR(LOOKUP(2,1/(F16:AC16&lt;&gt;""),F16:AC16),0)</f>
        <v>0</v>
      </c>
      <c r="AE16" s="68" t="n">
        <f aca="false">IFERROR(IF(D16=0,"",AD16/D16),"")</f>
        <v>0</v>
      </c>
      <c r="AF16" s="73" t="n">
        <f aca="false">(D16-AD16)/143</f>
        <v>2064.33566433566</v>
      </c>
    </row>
    <row r="17" customFormat="false" ht="21.75" hidden="false" customHeight="true" outlineLevel="0" collapsed="false">
      <c r="B17" s="22" t="s">
        <v>1656</v>
      </c>
      <c r="C17" s="16" t="s">
        <v>1657</v>
      </c>
      <c r="D17" s="83" t="n">
        <v>19514848</v>
      </c>
      <c r="E17" s="73" t="n">
        <f aca="false">D17/143</f>
        <v>136467.468531469</v>
      </c>
      <c r="F17" s="84"/>
      <c r="G17" s="84"/>
      <c r="H17" s="84"/>
      <c r="I17" s="84"/>
      <c r="J17" s="84"/>
      <c r="K17" s="84"/>
      <c r="L17" s="84"/>
      <c r="M17" s="84"/>
      <c r="N17" s="84"/>
      <c r="O17" s="84"/>
      <c r="P17" s="84"/>
      <c r="Q17" s="84"/>
      <c r="R17" s="84"/>
      <c r="S17" s="84"/>
      <c r="T17" s="84"/>
      <c r="U17" s="84"/>
      <c r="V17" s="84"/>
      <c r="W17" s="84"/>
      <c r="X17" s="84"/>
      <c r="Y17" s="84"/>
      <c r="Z17" s="84"/>
      <c r="AA17" s="84"/>
      <c r="AB17" s="84"/>
      <c r="AC17" s="84"/>
      <c r="AD17" s="83" t="n">
        <f aca="false">IFERROR(LOOKUP(2,1/(F17:AC17&lt;&gt;""),F17:AC17),0)</f>
        <v>0</v>
      </c>
      <c r="AE17" s="68" t="n">
        <f aca="false">IFERROR(IF(D17=0,"",AD17/D17),"")</f>
        <v>0</v>
      </c>
      <c r="AF17" s="73" t="n">
        <f aca="false">(D17-AD17)/143</f>
        <v>136467.468531469</v>
      </c>
    </row>
    <row r="18" customFormat="false" ht="21.75" hidden="false" customHeight="true" outlineLevel="0" collapsed="false">
      <c r="B18" s="22" t="s">
        <v>1658</v>
      </c>
      <c r="C18" s="16" t="s">
        <v>1659</v>
      </c>
      <c r="D18" s="83" t="n">
        <v>5494500</v>
      </c>
      <c r="E18" s="73" t="n">
        <f aca="false">D18/143</f>
        <v>38423.0769230769</v>
      </c>
      <c r="F18" s="84"/>
      <c r="G18" s="84"/>
      <c r="H18" s="84"/>
      <c r="I18" s="84"/>
      <c r="J18" s="84"/>
      <c r="K18" s="84"/>
      <c r="L18" s="84"/>
      <c r="M18" s="84"/>
      <c r="N18" s="84"/>
      <c r="O18" s="84"/>
      <c r="P18" s="84"/>
      <c r="Q18" s="84"/>
      <c r="R18" s="84"/>
      <c r="S18" s="84"/>
      <c r="T18" s="84"/>
      <c r="U18" s="84"/>
      <c r="V18" s="84"/>
      <c r="W18" s="84"/>
      <c r="X18" s="84"/>
      <c r="Y18" s="84"/>
      <c r="Z18" s="84"/>
      <c r="AA18" s="84"/>
      <c r="AB18" s="84"/>
      <c r="AC18" s="84"/>
      <c r="AD18" s="83" t="n">
        <f aca="false">IFERROR(LOOKUP(2,1/(F18:AC18&lt;&gt;""),F18:AC18),0)</f>
        <v>0</v>
      </c>
      <c r="AE18" s="68" t="n">
        <f aca="false">IFERROR(IF(D18=0,"",AD18/D18),"")</f>
        <v>0</v>
      </c>
      <c r="AF18" s="73" t="n">
        <f aca="false">(D18-AD18)/143</f>
        <v>38423.0769230769</v>
      </c>
    </row>
    <row r="19" customFormat="false" ht="21.75" hidden="false" customHeight="true" outlineLevel="0" collapsed="false">
      <c r="B19" s="22" t="s">
        <v>1660</v>
      </c>
      <c r="C19" s="16" t="s">
        <v>1661</v>
      </c>
      <c r="D19" s="83" t="n">
        <v>960500</v>
      </c>
      <c r="E19" s="73" t="n">
        <f aca="false">D19/143</f>
        <v>6716.78321678322</v>
      </c>
      <c r="F19" s="84"/>
      <c r="G19" s="84"/>
      <c r="H19" s="84"/>
      <c r="I19" s="84"/>
      <c r="J19" s="84"/>
      <c r="K19" s="84"/>
      <c r="L19" s="84"/>
      <c r="M19" s="84"/>
      <c r="N19" s="84"/>
      <c r="O19" s="84"/>
      <c r="P19" s="84"/>
      <c r="Q19" s="84"/>
      <c r="R19" s="84"/>
      <c r="S19" s="84"/>
      <c r="T19" s="84"/>
      <c r="U19" s="84"/>
      <c r="V19" s="84"/>
      <c r="W19" s="84"/>
      <c r="X19" s="84"/>
      <c r="Y19" s="84"/>
      <c r="Z19" s="84"/>
      <c r="AA19" s="84"/>
      <c r="AB19" s="84"/>
      <c r="AC19" s="84"/>
      <c r="AD19" s="83" t="n">
        <f aca="false">IFERROR(LOOKUP(2,1/(F19:AC19&lt;&gt;""),F19:AC19),0)</f>
        <v>0</v>
      </c>
      <c r="AE19" s="68" t="n">
        <f aca="false">IFERROR(IF(D19=0,"",AD19/D19),"")</f>
        <v>0</v>
      </c>
      <c r="AF19" s="73" t="n">
        <f aca="false">(D19-AD19)/143</f>
        <v>6716.78321678322</v>
      </c>
    </row>
    <row r="20" customFormat="false" ht="21.75" hidden="false" customHeight="true" outlineLevel="0" collapsed="false">
      <c r="B20" s="22" t="s">
        <v>1662</v>
      </c>
      <c r="C20" s="16" t="s">
        <v>1663</v>
      </c>
      <c r="D20" s="83" t="n">
        <v>1660963.59</v>
      </c>
      <c r="E20" s="73" t="n">
        <f aca="false">D20/143</f>
        <v>11615.13</v>
      </c>
      <c r="F20" s="84"/>
      <c r="G20" s="84"/>
      <c r="H20" s="84"/>
      <c r="I20" s="84"/>
      <c r="J20" s="84"/>
      <c r="K20" s="84"/>
      <c r="L20" s="84"/>
      <c r="M20" s="84"/>
      <c r="N20" s="84"/>
      <c r="O20" s="84"/>
      <c r="P20" s="84"/>
      <c r="Q20" s="84"/>
      <c r="R20" s="84"/>
      <c r="S20" s="84"/>
      <c r="T20" s="84"/>
      <c r="U20" s="84"/>
      <c r="V20" s="84"/>
      <c r="W20" s="84"/>
      <c r="X20" s="84"/>
      <c r="Y20" s="84"/>
      <c r="Z20" s="84"/>
      <c r="AA20" s="84"/>
      <c r="AB20" s="84"/>
      <c r="AC20" s="84"/>
      <c r="AD20" s="83" t="n">
        <f aca="false">IFERROR(LOOKUP(2,1/(F20:AC20&lt;&gt;""),F20:AC20),0)</f>
        <v>0</v>
      </c>
      <c r="AE20" s="68" t="n">
        <f aca="false">IFERROR(IF(D20=0,"",AD20/D20),"")</f>
        <v>0</v>
      </c>
      <c r="AF20" s="73" t="n">
        <f aca="false">(D20-AD20)/143</f>
        <v>11615.13</v>
      </c>
    </row>
    <row r="21" customFormat="false" ht="21.75" hidden="false" customHeight="true" outlineLevel="0" collapsed="false">
      <c r="C21" s="46" t="s">
        <v>1664</v>
      </c>
      <c r="D21" s="85" t="n">
        <f aca="false">SUM(D7:D20)</f>
        <v>84709111.59</v>
      </c>
      <c r="E21" s="86" t="n">
        <f aca="false">SUM(E7:E20)</f>
        <v>592371.40972028</v>
      </c>
      <c r="F21" s="85" t="n">
        <f aca="false">SUM(F7:F20)</f>
        <v>0</v>
      </c>
      <c r="G21" s="85" t="n">
        <f aca="false">SUM(G7:G20)</f>
        <v>0</v>
      </c>
      <c r="H21" s="85" t="n">
        <f aca="false">SUM(H7:H20)</f>
        <v>0</v>
      </c>
      <c r="I21" s="85" t="n">
        <f aca="false">SUM(I7:I20)</f>
        <v>0</v>
      </c>
      <c r="J21" s="85" t="n">
        <f aca="false">SUM(J7:J20)</f>
        <v>0</v>
      </c>
      <c r="K21" s="85" t="n">
        <f aca="false">SUM(K7:K20)</f>
        <v>0</v>
      </c>
      <c r="L21" s="85" t="n">
        <f aca="false">SUM(L7:L20)</f>
        <v>0</v>
      </c>
      <c r="M21" s="85" t="n">
        <f aca="false">SUM(M7:M20)</f>
        <v>0</v>
      </c>
      <c r="N21" s="85" t="n">
        <f aca="false">SUM(N7:N20)</f>
        <v>0</v>
      </c>
      <c r="O21" s="85" t="n">
        <f aca="false">SUM(O7:O20)</f>
        <v>0</v>
      </c>
      <c r="P21" s="85" t="n">
        <f aca="false">SUM(P7:P20)</f>
        <v>0</v>
      </c>
      <c r="Q21" s="85" t="n">
        <f aca="false">SUM(Q7:Q20)</f>
        <v>0</v>
      </c>
      <c r="R21" s="85" t="n">
        <f aca="false">SUM(R7:R20)</f>
        <v>0</v>
      </c>
      <c r="S21" s="85" t="n">
        <f aca="false">SUM(S7:S20)</f>
        <v>0</v>
      </c>
      <c r="T21" s="85" t="n">
        <f aca="false">SUM(T7:T20)</f>
        <v>0</v>
      </c>
      <c r="U21" s="85" t="n">
        <f aca="false">SUM(U7:U20)</f>
        <v>0</v>
      </c>
      <c r="V21" s="85" t="n">
        <f aca="false">SUM(V7:V20)</f>
        <v>0</v>
      </c>
      <c r="W21" s="85" t="n">
        <f aca="false">SUM(W7:W20)</f>
        <v>0</v>
      </c>
      <c r="X21" s="85" t="n">
        <f aca="false">SUM(X7:X20)</f>
        <v>0</v>
      </c>
      <c r="Y21" s="85" t="n">
        <f aca="false">SUM(Y7:Y20)</f>
        <v>0</v>
      </c>
      <c r="Z21" s="85" t="n">
        <f aca="false">SUM(Z7:Z20)</f>
        <v>0</v>
      </c>
      <c r="AA21" s="85" t="n">
        <f aca="false">SUM(AA7:AA20)</f>
        <v>0</v>
      </c>
      <c r="AB21" s="85" t="n">
        <f aca="false">SUM(AB7:AB20)</f>
        <v>0</v>
      </c>
      <c r="AC21" s="85" t="n">
        <f aca="false">SUM(AC7:AC20)</f>
        <v>0</v>
      </c>
      <c r="AD21" s="85" t="n">
        <f aca="false">SUM(AD7:AD20)</f>
        <v>0</v>
      </c>
      <c r="AE21" s="79" t="n">
        <f aca="false">IFERROR(AD21/D21,"")</f>
        <v>0</v>
      </c>
      <c r="AF21" s="86" t="n">
        <f aca="false">SUM(AF7:AF20)</f>
        <v>592371.40972028</v>
      </c>
    </row>
  </sheetData>
  <autoFilter ref="B6:AF20"/>
  <mergeCells count="10">
    <mergeCell ref="B2:AF2"/>
    <mergeCell ref="B3:AF3"/>
    <mergeCell ref="B5:B6"/>
    <mergeCell ref="C5:C6"/>
    <mergeCell ref="D5:D6"/>
    <mergeCell ref="E5:E6"/>
    <mergeCell ref="F5:AC5"/>
    <mergeCell ref="AD5:AD6"/>
    <mergeCell ref="AE5:AE6"/>
    <mergeCell ref="AF5:AF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42"/>
    <col collapsed="false" customWidth="true" hidden="false" outlineLevel="0" max="4" min="4" style="0" width="15"/>
    <col collapsed="false" customWidth="true" hidden="false" outlineLevel="0" max="12" min="5" style="0" width="10"/>
    <col collapsed="false" customWidth="true" hidden="false" outlineLevel="0" max="13" min="13" style="0" width="13"/>
    <col collapsed="false" customWidth="true" hidden="false" outlineLevel="0" max="14" min="14" style="0" width="9"/>
  </cols>
  <sheetData>
    <row r="2" customFormat="false" ht="21.75" hidden="false" customHeight="true" outlineLevel="0" collapsed="false">
      <c r="B2" s="12" t="s">
        <v>1665</v>
      </c>
      <c r="C2" s="12"/>
      <c r="D2" s="12"/>
      <c r="E2" s="12"/>
      <c r="F2" s="12"/>
      <c r="G2" s="12"/>
      <c r="H2" s="12"/>
      <c r="I2" s="12"/>
      <c r="J2" s="12"/>
      <c r="K2" s="12"/>
      <c r="L2" s="12"/>
      <c r="M2" s="12"/>
      <c r="N2" s="12"/>
    </row>
    <row r="3" customFormat="false" ht="15" hidden="false" customHeight="true" outlineLevel="0" collapsed="false">
      <c r="B3" s="13" t="s">
        <v>1666</v>
      </c>
      <c r="C3" s="13"/>
      <c r="D3" s="13"/>
      <c r="E3" s="13"/>
      <c r="F3" s="13"/>
      <c r="G3" s="13"/>
      <c r="H3" s="13"/>
      <c r="I3" s="13"/>
      <c r="J3" s="13"/>
      <c r="K3" s="13"/>
      <c r="L3" s="13"/>
      <c r="M3" s="13"/>
      <c r="N3" s="13"/>
    </row>
    <row r="5" customFormat="false" ht="25.5" hidden="false" customHeight="true" outlineLevel="0" collapsed="false">
      <c r="B5" s="18" t="s">
        <v>1637</v>
      </c>
      <c r="C5" s="18" t="s">
        <v>1638</v>
      </c>
      <c r="D5" s="18" t="s">
        <v>1639</v>
      </c>
      <c r="E5" s="19" t="s">
        <v>1667</v>
      </c>
      <c r="F5" s="19"/>
      <c r="G5" s="19"/>
      <c r="H5" s="19"/>
      <c r="I5" s="19"/>
      <c r="J5" s="19"/>
      <c r="K5" s="19"/>
      <c r="L5" s="19"/>
      <c r="M5" s="18" t="s">
        <v>1642</v>
      </c>
      <c r="N5" s="18" t="s">
        <v>1643</v>
      </c>
    </row>
    <row r="6" customFormat="false" ht="15" hidden="false" customHeight="false" outlineLevel="0" collapsed="false">
      <c r="B6" s="18"/>
      <c r="C6" s="18"/>
      <c r="D6" s="18"/>
      <c r="E6" s="71" t="s">
        <v>233</v>
      </c>
      <c r="F6" s="71" t="s">
        <v>234</v>
      </c>
      <c r="G6" s="71" t="s">
        <v>235</v>
      </c>
      <c r="H6" s="71" t="s">
        <v>236</v>
      </c>
      <c r="I6" s="71" t="s">
        <v>237</v>
      </c>
      <c r="J6" s="71" t="s">
        <v>238</v>
      </c>
      <c r="K6" s="71" t="s">
        <v>239</v>
      </c>
      <c r="L6" s="71" t="s">
        <v>240</v>
      </c>
      <c r="M6" s="18"/>
      <c r="N6" s="18"/>
    </row>
    <row r="7" customFormat="false" ht="21.75" hidden="false" customHeight="true" outlineLevel="0" collapsed="false">
      <c r="B7" s="22" t="s">
        <v>1101</v>
      </c>
      <c r="C7" s="16" t="s">
        <v>1645</v>
      </c>
      <c r="D7" s="83" t="n">
        <f aca="false">'13. Budget Tracker'!D7</f>
        <v>40000</v>
      </c>
      <c r="E7" s="83" t="str">
        <f aca="false">IF(1&gt;'7. IPTT'!$C$3,"",IFERROR(IF(COUNT('13. Budget Tracker'!F7:H7)=0,"",LOOKUP(2,1/('13. Budget Tracker'!F7:H7&lt;&gt;""),'13. Budget Tracker'!F7:H7)),""))</f>
        <v/>
      </c>
      <c r="F7" s="83" t="str">
        <f aca="false">IF(2&gt;'7. IPTT'!$C$3,"",IFERROR(IF(COUNT('13. Budget Tracker'!F7:K7)=0,"",LOOKUP(2,1/('13. Budget Tracker'!F7:K7&lt;&gt;""),'13. Budget Tracker'!F7:K7)),""))</f>
        <v/>
      </c>
      <c r="G7" s="83" t="str">
        <f aca="false">IF(3&gt;'7. IPTT'!$C$3,"",IFERROR(IF(COUNT('13. Budget Tracker'!F7:N7)=0,"",LOOKUP(2,1/('13. Budget Tracker'!F7:N7&lt;&gt;""),'13. Budget Tracker'!F7:N7)),""))</f>
        <v/>
      </c>
      <c r="H7" s="83" t="str">
        <f aca="false">IF(4&gt;'7. IPTT'!$C$3,"",IFERROR(IF(COUNT('13. Budget Tracker'!F7:Q7)=0,"",LOOKUP(2,1/('13. Budget Tracker'!F7:Q7&lt;&gt;""),'13. Budget Tracker'!F7:Q7)),""))</f>
        <v/>
      </c>
      <c r="I7" s="83" t="str">
        <f aca="false">IF(5&gt;'7. IPTT'!$C$3,"",IFERROR(IF(COUNT('13. Budget Tracker'!F7:T7)=0,"",LOOKUP(2,1/('13. Budget Tracker'!F7:T7&lt;&gt;""),'13. Budget Tracker'!F7:T7)),""))</f>
        <v/>
      </c>
      <c r="J7" s="83" t="str">
        <f aca="false">IF(6&gt;'7. IPTT'!$C$3,"",IFERROR(IF(COUNT('13. Budget Tracker'!F7:W7)=0,"",LOOKUP(2,1/('13. Budget Tracker'!F7:W7&lt;&gt;""),'13. Budget Tracker'!F7:W7)),""))</f>
        <v/>
      </c>
      <c r="K7" s="83" t="str">
        <f aca="false">IF(7&gt;'7. IPTT'!$C$3,"",IFERROR(IF(COUNT('13. Budget Tracker'!F7:Z7)=0,"",LOOKUP(2,1/('13. Budget Tracker'!F7:Z7&lt;&gt;""),'13. Budget Tracker'!F7:Z7)),""))</f>
        <v/>
      </c>
      <c r="L7" s="83" t="str">
        <f aca="false">IF(8&gt;'7. IPTT'!$C$3,"",IFERROR(IF(COUNT('13. Budget Tracker'!F7:AC7)=0,"",LOOKUP(2,1/('13. Budget Tracker'!F7:AC7&lt;&gt;""),'13. Budget Tracker'!F7:AC7)),""))</f>
        <v/>
      </c>
      <c r="M7" s="83" t="n">
        <f aca="false">'13. Budget Tracker'!AD7</f>
        <v>0</v>
      </c>
      <c r="N7" s="68" t="n">
        <f aca="false">IFERROR(IF(D7=0,"",M7/D7),"")</f>
        <v>0</v>
      </c>
    </row>
    <row r="8" customFormat="false" ht="21.75" hidden="false" customHeight="true" outlineLevel="0" collapsed="false">
      <c r="B8" s="22" t="s">
        <v>1125</v>
      </c>
      <c r="C8" s="16" t="s">
        <v>1646</v>
      </c>
      <c r="D8" s="83" t="n">
        <f aca="false">'13. Budget Tracker'!D8</f>
        <v>27698100</v>
      </c>
      <c r="E8" s="83" t="str">
        <f aca="false">IF(1&gt;'7. IPTT'!$C$3,"",IFERROR(IF(COUNT('13. Budget Tracker'!F8:H8)=0,"",LOOKUP(2,1/('13. Budget Tracker'!F8:H8&lt;&gt;""),'13. Budget Tracker'!F8:H8)),""))</f>
        <v/>
      </c>
      <c r="F8" s="83" t="str">
        <f aca="false">IF(2&gt;'7. IPTT'!$C$3,"",IFERROR(IF(COUNT('13. Budget Tracker'!F8:K8)=0,"",LOOKUP(2,1/('13. Budget Tracker'!F8:K8&lt;&gt;""),'13. Budget Tracker'!F8:K8)),""))</f>
        <v/>
      </c>
      <c r="G8" s="83" t="str">
        <f aca="false">IF(3&gt;'7. IPTT'!$C$3,"",IFERROR(IF(COUNT('13. Budget Tracker'!F8:N8)=0,"",LOOKUP(2,1/('13. Budget Tracker'!F8:N8&lt;&gt;""),'13. Budget Tracker'!F8:N8)),""))</f>
        <v/>
      </c>
      <c r="H8" s="83" t="str">
        <f aca="false">IF(4&gt;'7. IPTT'!$C$3,"",IFERROR(IF(COUNT('13. Budget Tracker'!F8:Q8)=0,"",LOOKUP(2,1/('13. Budget Tracker'!F8:Q8&lt;&gt;""),'13. Budget Tracker'!F8:Q8)),""))</f>
        <v/>
      </c>
      <c r="I8" s="83" t="str">
        <f aca="false">IF(5&gt;'7. IPTT'!$C$3,"",IFERROR(IF(COUNT('13. Budget Tracker'!F8:T8)=0,"",LOOKUP(2,1/('13. Budget Tracker'!F8:T8&lt;&gt;""),'13. Budget Tracker'!F8:T8)),""))</f>
        <v/>
      </c>
      <c r="J8" s="83" t="str">
        <f aca="false">IF(6&gt;'7. IPTT'!$C$3,"",IFERROR(IF(COUNT('13. Budget Tracker'!F8:W8)=0,"",LOOKUP(2,1/('13. Budget Tracker'!F8:W8&lt;&gt;""),'13. Budget Tracker'!F8:W8)),""))</f>
        <v/>
      </c>
      <c r="K8" s="83" t="str">
        <f aca="false">IF(7&gt;'7. IPTT'!$C$3,"",IFERROR(IF(COUNT('13. Budget Tracker'!F8:Z8)=0,"",LOOKUP(2,1/('13. Budget Tracker'!F8:Z8&lt;&gt;""),'13. Budget Tracker'!F8:Z8)),""))</f>
        <v/>
      </c>
      <c r="L8" s="83" t="str">
        <f aca="false">IF(8&gt;'7. IPTT'!$C$3,"",IFERROR(IF(COUNT('13. Budget Tracker'!F8:AC8)=0,"",LOOKUP(2,1/('13. Budget Tracker'!F8:AC8&lt;&gt;""),'13. Budget Tracker'!F8:AC8)),""))</f>
        <v/>
      </c>
      <c r="M8" s="83" t="n">
        <f aca="false">'13. Budget Tracker'!AD8</f>
        <v>0</v>
      </c>
      <c r="N8" s="68" t="n">
        <f aca="false">IFERROR(IF(D8=0,"",M8/D8),"")</f>
        <v>0</v>
      </c>
    </row>
    <row r="9" customFormat="false" ht="21.75" hidden="false" customHeight="true" outlineLevel="0" collapsed="false">
      <c r="B9" s="22" t="s">
        <v>1184</v>
      </c>
      <c r="C9" s="16" t="s">
        <v>1647</v>
      </c>
      <c r="D9" s="83" t="n">
        <f aca="false">'13. Budget Tracker'!D9</f>
        <v>2460240</v>
      </c>
      <c r="E9" s="83" t="str">
        <f aca="false">IF(1&gt;'7. IPTT'!$C$3,"",IFERROR(IF(COUNT('13. Budget Tracker'!F9:H9)=0,"",LOOKUP(2,1/('13. Budget Tracker'!F9:H9&lt;&gt;""),'13. Budget Tracker'!F9:H9)),""))</f>
        <v/>
      </c>
      <c r="F9" s="83" t="str">
        <f aca="false">IF(2&gt;'7. IPTT'!$C$3,"",IFERROR(IF(COUNT('13. Budget Tracker'!F9:K9)=0,"",LOOKUP(2,1/('13. Budget Tracker'!F9:K9&lt;&gt;""),'13. Budget Tracker'!F9:K9)),""))</f>
        <v/>
      </c>
      <c r="G9" s="83" t="str">
        <f aca="false">IF(3&gt;'7. IPTT'!$C$3,"",IFERROR(IF(COUNT('13. Budget Tracker'!F9:N9)=0,"",LOOKUP(2,1/('13. Budget Tracker'!F9:N9&lt;&gt;""),'13. Budget Tracker'!F9:N9)),""))</f>
        <v/>
      </c>
      <c r="H9" s="83" t="str">
        <f aca="false">IF(4&gt;'7. IPTT'!$C$3,"",IFERROR(IF(COUNT('13. Budget Tracker'!F9:Q9)=0,"",LOOKUP(2,1/('13. Budget Tracker'!F9:Q9&lt;&gt;""),'13. Budget Tracker'!F9:Q9)),""))</f>
        <v/>
      </c>
      <c r="I9" s="83" t="str">
        <f aca="false">IF(5&gt;'7. IPTT'!$C$3,"",IFERROR(IF(COUNT('13. Budget Tracker'!F9:T9)=0,"",LOOKUP(2,1/('13. Budget Tracker'!F9:T9&lt;&gt;""),'13. Budget Tracker'!F9:T9)),""))</f>
        <v/>
      </c>
      <c r="J9" s="83" t="str">
        <f aca="false">IF(6&gt;'7. IPTT'!$C$3,"",IFERROR(IF(COUNT('13. Budget Tracker'!F9:W9)=0,"",LOOKUP(2,1/('13. Budget Tracker'!F9:W9&lt;&gt;""),'13. Budget Tracker'!F9:W9)),""))</f>
        <v/>
      </c>
      <c r="K9" s="83" t="str">
        <f aca="false">IF(7&gt;'7. IPTT'!$C$3,"",IFERROR(IF(COUNT('13. Budget Tracker'!F9:Z9)=0,"",LOOKUP(2,1/('13. Budget Tracker'!F9:Z9&lt;&gt;""),'13. Budget Tracker'!F9:Z9)),""))</f>
        <v/>
      </c>
      <c r="L9" s="83" t="str">
        <f aca="false">IF(8&gt;'7. IPTT'!$C$3,"",IFERROR(IF(COUNT('13. Budget Tracker'!F9:AC9)=0,"",LOOKUP(2,1/('13. Budget Tracker'!F9:AC9&lt;&gt;""),'13. Budget Tracker'!F9:AC9)),""))</f>
        <v/>
      </c>
      <c r="M9" s="83" t="n">
        <f aca="false">'13. Budget Tracker'!AD9</f>
        <v>0</v>
      </c>
      <c r="N9" s="68" t="n">
        <f aca="false">IFERROR(IF(D9=0,"",M9/D9),"")</f>
        <v>0</v>
      </c>
    </row>
    <row r="10" customFormat="false" ht="21.75" hidden="false" customHeight="true" outlineLevel="0" collapsed="false">
      <c r="B10" s="22" t="s">
        <v>1193</v>
      </c>
      <c r="C10" s="16" t="s">
        <v>1648</v>
      </c>
      <c r="D10" s="83" t="n">
        <f aca="false">'13. Budget Tracker'!D10</f>
        <v>1248000</v>
      </c>
      <c r="E10" s="83" t="str">
        <f aca="false">IF(1&gt;'7. IPTT'!$C$3,"",IFERROR(IF(COUNT('13. Budget Tracker'!F10:H10)=0,"",LOOKUP(2,1/('13. Budget Tracker'!F10:H10&lt;&gt;""),'13. Budget Tracker'!F10:H10)),""))</f>
        <v/>
      </c>
      <c r="F10" s="83" t="str">
        <f aca="false">IF(2&gt;'7. IPTT'!$C$3,"",IFERROR(IF(COUNT('13. Budget Tracker'!F10:K10)=0,"",LOOKUP(2,1/('13. Budget Tracker'!F10:K10&lt;&gt;""),'13. Budget Tracker'!F10:K10)),""))</f>
        <v/>
      </c>
      <c r="G10" s="83" t="str">
        <f aca="false">IF(3&gt;'7. IPTT'!$C$3,"",IFERROR(IF(COUNT('13. Budget Tracker'!F10:N10)=0,"",LOOKUP(2,1/('13. Budget Tracker'!F10:N10&lt;&gt;""),'13. Budget Tracker'!F10:N10)),""))</f>
        <v/>
      </c>
      <c r="H10" s="83" t="str">
        <f aca="false">IF(4&gt;'7. IPTT'!$C$3,"",IFERROR(IF(COUNT('13. Budget Tracker'!F10:Q10)=0,"",LOOKUP(2,1/('13. Budget Tracker'!F10:Q10&lt;&gt;""),'13. Budget Tracker'!F10:Q10)),""))</f>
        <v/>
      </c>
      <c r="I10" s="83" t="str">
        <f aca="false">IF(5&gt;'7. IPTT'!$C$3,"",IFERROR(IF(COUNT('13. Budget Tracker'!F10:T10)=0,"",LOOKUP(2,1/('13. Budget Tracker'!F10:T10&lt;&gt;""),'13. Budget Tracker'!F10:T10)),""))</f>
        <v/>
      </c>
      <c r="J10" s="83" t="str">
        <f aca="false">IF(6&gt;'7. IPTT'!$C$3,"",IFERROR(IF(COUNT('13. Budget Tracker'!F10:W10)=0,"",LOOKUP(2,1/('13. Budget Tracker'!F10:W10&lt;&gt;""),'13. Budget Tracker'!F10:W10)),""))</f>
        <v/>
      </c>
      <c r="K10" s="83" t="str">
        <f aca="false">IF(7&gt;'7. IPTT'!$C$3,"",IFERROR(IF(COUNT('13. Budget Tracker'!F10:Z10)=0,"",LOOKUP(2,1/('13. Budget Tracker'!F10:Z10&lt;&gt;""),'13. Budget Tracker'!F10:Z10)),""))</f>
        <v/>
      </c>
      <c r="L10" s="83" t="str">
        <f aca="false">IF(8&gt;'7. IPTT'!$C$3,"",IFERROR(IF(COUNT('13. Budget Tracker'!F10:AC10)=0,"",LOOKUP(2,1/('13. Budget Tracker'!F10:AC10&lt;&gt;""),'13. Budget Tracker'!F10:AC10)),""))</f>
        <v/>
      </c>
      <c r="M10" s="83" t="n">
        <f aca="false">'13. Budget Tracker'!AD10</f>
        <v>0</v>
      </c>
      <c r="N10" s="68" t="n">
        <f aca="false">IFERROR(IF(D10=0,"",M10/D10),"")</f>
        <v>0</v>
      </c>
    </row>
    <row r="11" customFormat="false" ht="21.75" hidden="false" customHeight="true" outlineLevel="0" collapsed="false">
      <c r="B11" s="22" t="s">
        <v>1250</v>
      </c>
      <c r="C11" s="16" t="s">
        <v>1649</v>
      </c>
      <c r="D11" s="83" t="n">
        <f aca="false">'13. Budget Tracker'!D11</f>
        <v>1095160</v>
      </c>
      <c r="E11" s="83" t="str">
        <f aca="false">IF(1&gt;'7. IPTT'!$C$3,"",IFERROR(IF(COUNT('13. Budget Tracker'!F11:H11)=0,"",LOOKUP(2,1/('13. Budget Tracker'!F11:H11&lt;&gt;""),'13. Budget Tracker'!F11:H11)),""))</f>
        <v/>
      </c>
      <c r="F11" s="83" t="str">
        <f aca="false">IF(2&gt;'7. IPTT'!$C$3,"",IFERROR(IF(COUNT('13. Budget Tracker'!F11:K11)=0,"",LOOKUP(2,1/('13. Budget Tracker'!F11:K11&lt;&gt;""),'13. Budget Tracker'!F11:K11)),""))</f>
        <v/>
      </c>
      <c r="G11" s="83" t="str">
        <f aca="false">IF(3&gt;'7. IPTT'!$C$3,"",IFERROR(IF(COUNT('13. Budget Tracker'!F11:N11)=0,"",LOOKUP(2,1/('13. Budget Tracker'!F11:N11&lt;&gt;""),'13. Budget Tracker'!F11:N11)),""))</f>
        <v/>
      </c>
      <c r="H11" s="83" t="str">
        <f aca="false">IF(4&gt;'7. IPTT'!$C$3,"",IFERROR(IF(COUNT('13. Budget Tracker'!F11:Q11)=0,"",LOOKUP(2,1/('13. Budget Tracker'!F11:Q11&lt;&gt;""),'13. Budget Tracker'!F11:Q11)),""))</f>
        <v/>
      </c>
      <c r="I11" s="83" t="str">
        <f aca="false">IF(5&gt;'7. IPTT'!$C$3,"",IFERROR(IF(COUNT('13. Budget Tracker'!F11:T11)=0,"",LOOKUP(2,1/('13. Budget Tracker'!F11:T11&lt;&gt;""),'13. Budget Tracker'!F11:T11)),""))</f>
        <v/>
      </c>
      <c r="J11" s="83" t="str">
        <f aca="false">IF(6&gt;'7. IPTT'!$C$3,"",IFERROR(IF(COUNT('13. Budget Tracker'!F11:W11)=0,"",LOOKUP(2,1/('13. Budget Tracker'!F11:W11&lt;&gt;""),'13. Budget Tracker'!F11:W11)),""))</f>
        <v/>
      </c>
      <c r="K11" s="83" t="str">
        <f aca="false">IF(7&gt;'7. IPTT'!$C$3,"",IFERROR(IF(COUNT('13. Budget Tracker'!F11:Z11)=0,"",LOOKUP(2,1/('13. Budget Tracker'!F11:Z11&lt;&gt;""),'13. Budget Tracker'!F11:Z11)),""))</f>
        <v/>
      </c>
      <c r="L11" s="83" t="str">
        <f aca="false">IF(8&gt;'7. IPTT'!$C$3,"",IFERROR(IF(COUNT('13. Budget Tracker'!F11:AC11)=0,"",LOOKUP(2,1/('13. Budget Tracker'!F11:AC11&lt;&gt;""),'13. Budget Tracker'!F11:AC11)),""))</f>
        <v/>
      </c>
      <c r="M11" s="83" t="n">
        <f aca="false">'13. Budget Tracker'!AD11</f>
        <v>0</v>
      </c>
      <c r="N11" s="68" t="n">
        <f aca="false">IFERROR(IF(D11=0,"",M11/D11),"")</f>
        <v>0</v>
      </c>
    </row>
    <row r="12" customFormat="false" ht="21.75" hidden="false" customHeight="true" outlineLevel="0" collapsed="false">
      <c r="B12" s="22" t="s">
        <v>300</v>
      </c>
      <c r="C12" s="16" t="s">
        <v>1650</v>
      </c>
      <c r="D12" s="83" t="n">
        <f aca="false">'13. Budget Tracker'!D12</f>
        <v>1963000</v>
      </c>
      <c r="E12" s="83" t="str">
        <f aca="false">IF(1&gt;'7. IPTT'!$C$3,"",IFERROR(IF(COUNT('13. Budget Tracker'!F12:H12)=0,"",LOOKUP(2,1/('13. Budget Tracker'!F12:H12&lt;&gt;""),'13. Budget Tracker'!F12:H12)),""))</f>
        <v/>
      </c>
      <c r="F12" s="83" t="str">
        <f aca="false">IF(2&gt;'7. IPTT'!$C$3,"",IFERROR(IF(COUNT('13. Budget Tracker'!F12:K12)=0,"",LOOKUP(2,1/('13. Budget Tracker'!F12:K12&lt;&gt;""),'13. Budget Tracker'!F12:K12)),""))</f>
        <v/>
      </c>
      <c r="G12" s="83" t="str">
        <f aca="false">IF(3&gt;'7. IPTT'!$C$3,"",IFERROR(IF(COUNT('13. Budget Tracker'!F12:N12)=0,"",LOOKUP(2,1/('13. Budget Tracker'!F12:N12&lt;&gt;""),'13. Budget Tracker'!F12:N12)),""))</f>
        <v/>
      </c>
      <c r="H12" s="83" t="str">
        <f aca="false">IF(4&gt;'7. IPTT'!$C$3,"",IFERROR(IF(COUNT('13. Budget Tracker'!F12:Q12)=0,"",LOOKUP(2,1/('13. Budget Tracker'!F12:Q12&lt;&gt;""),'13. Budget Tracker'!F12:Q12)),""))</f>
        <v/>
      </c>
      <c r="I12" s="83" t="str">
        <f aca="false">IF(5&gt;'7. IPTT'!$C$3,"",IFERROR(IF(COUNT('13. Budget Tracker'!F12:T12)=0,"",LOOKUP(2,1/('13. Budget Tracker'!F12:T12&lt;&gt;""),'13. Budget Tracker'!F12:T12)),""))</f>
        <v/>
      </c>
      <c r="J12" s="83" t="str">
        <f aca="false">IF(6&gt;'7. IPTT'!$C$3,"",IFERROR(IF(COUNT('13. Budget Tracker'!F12:W12)=0,"",LOOKUP(2,1/('13. Budget Tracker'!F12:W12&lt;&gt;""),'13. Budget Tracker'!F12:W12)),""))</f>
        <v/>
      </c>
      <c r="K12" s="83" t="str">
        <f aca="false">IF(7&gt;'7. IPTT'!$C$3,"",IFERROR(IF(COUNT('13. Budget Tracker'!F12:Z12)=0,"",LOOKUP(2,1/('13. Budget Tracker'!F12:Z12&lt;&gt;""),'13. Budget Tracker'!F12:Z12)),""))</f>
        <v/>
      </c>
      <c r="L12" s="83" t="str">
        <f aca="false">IF(8&gt;'7. IPTT'!$C$3,"",IFERROR(IF(COUNT('13. Budget Tracker'!F12:AC12)=0,"",LOOKUP(2,1/('13. Budget Tracker'!F12:AC12&lt;&gt;""),'13. Budget Tracker'!F12:AC12)),""))</f>
        <v/>
      </c>
      <c r="M12" s="83" t="n">
        <f aca="false">'13. Budget Tracker'!AD12</f>
        <v>0</v>
      </c>
      <c r="N12" s="68" t="n">
        <f aca="false">IFERROR(IF(D12=0,"",M12/D12),"")</f>
        <v>0</v>
      </c>
    </row>
    <row r="13" customFormat="false" ht="21.75" hidden="false" customHeight="true" outlineLevel="0" collapsed="false">
      <c r="B13" s="22" t="s">
        <v>1651</v>
      </c>
      <c r="C13" s="16" t="s">
        <v>1652</v>
      </c>
      <c r="D13" s="83" t="n">
        <f aca="false">'13. Budget Tracker'!D13</f>
        <v>0</v>
      </c>
      <c r="E13" s="83" t="str">
        <f aca="false">IF(1&gt;'7. IPTT'!$C$3,"",IFERROR(IF(COUNT('13. Budget Tracker'!F13:H13)=0,"",LOOKUP(2,1/('13. Budget Tracker'!F13:H13&lt;&gt;""),'13. Budget Tracker'!F13:H13)),""))</f>
        <v/>
      </c>
      <c r="F13" s="83" t="str">
        <f aca="false">IF(2&gt;'7. IPTT'!$C$3,"",IFERROR(IF(COUNT('13. Budget Tracker'!F13:K13)=0,"",LOOKUP(2,1/('13. Budget Tracker'!F13:K13&lt;&gt;""),'13. Budget Tracker'!F13:K13)),""))</f>
        <v/>
      </c>
      <c r="G13" s="83" t="str">
        <f aca="false">IF(3&gt;'7. IPTT'!$C$3,"",IFERROR(IF(COUNT('13. Budget Tracker'!F13:N13)=0,"",LOOKUP(2,1/('13. Budget Tracker'!F13:N13&lt;&gt;""),'13. Budget Tracker'!F13:N13)),""))</f>
        <v/>
      </c>
      <c r="H13" s="83" t="str">
        <f aca="false">IF(4&gt;'7. IPTT'!$C$3,"",IFERROR(IF(COUNT('13. Budget Tracker'!F13:Q13)=0,"",LOOKUP(2,1/('13. Budget Tracker'!F13:Q13&lt;&gt;""),'13. Budget Tracker'!F13:Q13)),""))</f>
        <v/>
      </c>
      <c r="I13" s="83" t="str">
        <f aca="false">IF(5&gt;'7. IPTT'!$C$3,"",IFERROR(IF(COUNT('13. Budget Tracker'!F13:T13)=0,"",LOOKUP(2,1/('13. Budget Tracker'!F13:T13&lt;&gt;""),'13. Budget Tracker'!F13:T13)),""))</f>
        <v/>
      </c>
      <c r="J13" s="83" t="str">
        <f aca="false">IF(6&gt;'7. IPTT'!$C$3,"",IFERROR(IF(COUNT('13. Budget Tracker'!F13:W13)=0,"",LOOKUP(2,1/('13. Budget Tracker'!F13:W13&lt;&gt;""),'13. Budget Tracker'!F13:W13)),""))</f>
        <v/>
      </c>
      <c r="K13" s="83" t="str">
        <f aca="false">IF(7&gt;'7. IPTT'!$C$3,"",IFERROR(IF(COUNT('13. Budget Tracker'!F13:Z13)=0,"",LOOKUP(2,1/('13. Budget Tracker'!F13:Z13&lt;&gt;""),'13. Budget Tracker'!F13:Z13)),""))</f>
        <v/>
      </c>
      <c r="L13" s="83" t="str">
        <f aca="false">IF(8&gt;'7. IPTT'!$C$3,"",IFERROR(IF(COUNT('13. Budget Tracker'!F13:AC13)=0,"",LOOKUP(2,1/('13. Budget Tracker'!F13:AC13&lt;&gt;""),'13. Budget Tracker'!F13:AC13)),""))</f>
        <v/>
      </c>
      <c r="M13" s="83" t="n">
        <f aca="false">'13. Budget Tracker'!AD13</f>
        <v>0</v>
      </c>
      <c r="N13" s="68" t="str">
        <f aca="false">IFERROR(IF(D13=0,"",M13/D13),"")</f>
        <v/>
      </c>
    </row>
    <row r="14" customFormat="false" ht="21.75" hidden="false" customHeight="true" outlineLevel="0" collapsed="false">
      <c r="B14" s="22" t="s">
        <v>1300</v>
      </c>
      <c r="C14" s="16" t="s">
        <v>1653</v>
      </c>
      <c r="D14" s="83" t="n">
        <f aca="false">'13. Budget Tracker'!D14</f>
        <v>10455800</v>
      </c>
      <c r="E14" s="83" t="str">
        <f aca="false">IF(1&gt;'7. IPTT'!$C$3,"",IFERROR(IF(COUNT('13. Budget Tracker'!F14:H14)=0,"",LOOKUP(2,1/('13. Budget Tracker'!F14:H14&lt;&gt;""),'13. Budget Tracker'!F14:H14)),""))</f>
        <v/>
      </c>
      <c r="F14" s="83" t="str">
        <f aca="false">IF(2&gt;'7. IPTT'!$C$3,"",IFERROR(IF(COUNT('13. Budget Tracker'!F14:K14)=0,"",LOOKUP(2,1/('13. Budget Tracker'!F14:K14&lt;&gt;""),'13. Budget Tracker'!F14:K14)),""))</f>
        <v/>
      </c>
      <c r="G14" s="83" t="str">
        <f aca="false">IF(3&gt;'7. IPTT'!$C$3,"",IFERROR(IF(COUNT('13. Budget Tracker'!F14:N14)=0,"",LOOKUP(2,1/('13. Budget Tracker'!F14:N14&lt;&gt;""),'13. Budget Tracker'!F14:N14)),""))</f>
        <v/>
      </c>
      <c r="H14" s="83" t="str">
        <f aca="false">IF(4&gt;'7. IPTT'!$C$3,"",IFERROR(IF(COUNT('13. Budget Tracker'!F14:Q14)=0,"",LOOKUP(2,1/('13. Budget Tracker'!F14:Q14&lt;&gt;""),'13. Budget Tracker'!F14:Q14)),""))</f>
        <v/>
      </c>
      <c r="I14" s="83" t="str">
        <f aca="false">IF(5&gt;'7. IPTT'!$C$3,"",IFERROR(IF(COUNT('13. Budget Tracker'!F14:T14)=0,"",LOOKUP(2,1/('13. Budget Tracker'!F14:T14&lt;&gt;""),'13. Budget Tracker'!F14:T14)),""))</f>
        <v/>
      </c>
      <c r="J14" s="83" t="str">
        <f aca="false">IF(6&gt;'7. IPTT'!$C$3,"",IFERROR(IF(COUNT('13. Budget Tracker'!F14:W14)=0,"",LOOKUP(2,1/('13. Budget Tracker'!F14:W14&lt;&gt;""),'13. Budget Tracker'!F14:W14)),""))</f>
        <v/>
      </c>
      <c r="K14" s="83" t="str">
        <f aca="false">IF(7&gt;'7. IPTT'!$C$3,"",IFERROR(IF(COUNT('13. Budget Tracker'!F14:Z14)=0,"",LOOKUP(2,1/('13. Budget Tracker'!F14:Z14&lt;&gt;""),'13. Budget Tracker'!F14:Z14)),""))</f>
        <v/>
      </c>
      <c r="L14" s="83" t="str">
        <f aca="false">IF(8&gt;'7. IPTT'!$C$3,"",IFERROR(IF(COUNT('13. Budget Tracker'!F14:AC14)=0,"",LOOKUP(2,1/('13. Budget Tracker'!F14:AC14&lt;&gt;""),'13. Budget Tracker'!F14:AC14)),""))</f>
        <v/>
      </c>
      <c r="M14" s="83" t="n">
        <f aca="false">'13. Budget Tracker'!AD14</f>
        <v>0</v>
      </c>
      <c r="N14" s="68" t="n">
        <f aca="false">IFERROR(IF(D14=0,"",M14/D14),"")</f>
        <v>0</v>
      </c>
    </row>
    <row r="15" customFormat="false" ht="21.75" hidden="false" customHeight="true" outlineLevel="0" collapsed="false">
      <c r="B15" s="22" t="s">
        <v>1332</v>
      </c>
      <c r="C15" s="16" t="s">
        <v>1654</v>
      </c>
      <c r="D15" s="83" t="n">
        <f aca="false">'13. Budget Tracker'!D15</f>
        <v>11822800</v>
      </c>
      <c r="E15" s="83" t="str">
        <f aca="false">IF(1&gt;'7. IPTT'!$C$3,"",IFERROR(IF(COUNT('13. Budget Tracker'!F15:H15)=0,"",LOOKUP(2,1/('13. Budget Tracker'!F15:H15&lt;&gt;""),'13. Budget Tracker'!F15:H15)),""))</f>
        <v/>
      </c>
      <c r="F15" s="83" t="str">
        <f aca="false">IF(2&gt;'7. IPTT'!$C$3,"",IFERROR(IF(COUNT('13. Budget Tracker'!F15:K15)=0,"",LOOKUP(2,1/('13. Budget Tracker'!F15:K15&lt;&gt;""),'13. Budget Tracker'!F15:K15)),""))</f>
        <v/>
      </c>
      <c r="G15" s="83" t="str">
        <f aca="false">IF(3&gt;'7. IPTT'!$C$3,"",IFERROR(IF(COUNT('13. Budget Tracker'!F15:N15)=0,"",LOOKUP(2,1/('13. Budget Tracker'!F15:N15&lt;&gt;""),'13. Budget Tracker'!F15:N15)),""))</f>
        <v/>
      </c>
      <c r="H15" s="83" t="str">
        <f aca="false">IF(4&gt;'7. IPTT'!$C$3,"",IFERROR(IF(COUNT('13. Budget Tracker'!F15:Q15)=0,"",LOOKUP(2,1/('13. Budget Tracker'!F15:Q15&lt;&gt;""),'13. Budget Tracker'!F15:Q15)),""))</f>
        <v/>
      </c>
      <c r="I15" s="83" t="str">
        <f aca="false">IF(5&gt;'7. IPTT'!$C$3,"",IFERROR(IF(COUNT('13. Budget Tracker'!F15:T15)=0,"",LOOKUP(2,1/('13. Budget Tracker'!F15:T15&lt;&gt;""),'13. Budget Tracker'!F15:T15)),""))</f>
        <v/>
      </c>
      <c r="J15" s="83" t="str">
        <f aca="false">IF(6&gt;'7. IPTT'!$C$3,"",IFERROR(IF(COUNT('13. Budget Tracker'!F15:W15)=0,"",LOOKUP(2,1/('13. Budget Tracker'!F15:W15&lt;&gt;""),'13. Budget Tracker'!F15:W15)),""))</f>
        <v/>
      </c>
      <c r="K15" s="83" t="str">
        <f aca="false">IF(7&gt;'7. IPTT'!$C$3,"",IFERROR(IF(COUNT('13. Budget Tracker'!F15:Z15)=0,"",LOOKUP(2,1/('13. Budget Tracker'!F15:Z15&lt;&gt;""),'13. Budget Tracker'!F15:Z15)),""))</f>
        <v/>
      </c>
      <c r="L15" s="83" t="str">
        <f aca="false">IF(8&gt;'7. IPTT'!$C$3,"",IFERROR(IF(COUNT('13. Budget Tracker'!F15:AC15)=0,"",LOOKUP(2,1/('13. Budget Tracker'!F15:AC15&lt;&gt;""),'13. Budget Tracker'!F15:AC15)),""))</f>
        <v/>
      </c>
      <c r="M15" s="83" t="n">
        <f aca="false">'13. Budget Tracker'!AD15</f>
        <v>0</v>
      </c>
      <c r="N15" s="68" t="n">
        <f aca="false">IFERROR(IF(D15=0,"",M15/D15),"")</f>
        <v>0</v>
      </c>
    </row>
    <row r="16" customFormat="false" ht="21.75" hidden="false" customHeight="true" outlineLevel="0" collapsed="false">
      <c r="B16" s="22" t="s">
        <v>1361</v>
      </c>
      <c r="C16" s="16" t="s">
        <v>1655</v>
      </c>
      <c r="D16" s="83" t="n">
        <f aca="false">'13. Budget Tracker'!D16</f>
        <v>295200</v>
      </c>
      <c r="E16" s="83" t="str">
        <f aca="false">IF(1&gt;'7. IPTT'!$C$3,"",IFERROR(IF(COUNT('13. Budget Tracker'!F16:H16)=0,"",LOOKUP(2,1/('13. Budget Tracker'!F16:H16&lt;&gt;""),'13. Budget Tracker'!F16:H16)),""))</f>
        <v/>
      </c>
      <c r="F16" s="83" t="str">
        <f aca="false">IF(2&gt;'7. IPTT'!$C$3,"",IFERROR(IF(COUNT('13. Budget Tracker'!F16:K16)=0,"",LOOKUP(2,1/('13. Budget Tracker'!F16:K16&lt;&gt;""),'13. Budget Tracker'!F16:K16)),""))</f>
        <v/>
      </c>
      <c r="G16" s="83" t="str">
        <f aca="false">IF(3&gt;'7. IPTT'!$C$3,"",IFERROR(IF(COUNT('13. Budget Tracker'!F16:N16)=0,"",LOOKUP(2,1/('13. Budget Tracker'!F16:N16&lt;&gt;""),'13. Budget Tracker'!F16:N16)),""))</f>
        <v/>
      </c>
      <c r="H16" s="83" t="str">
        <f aca="false">IF(4&gt;'7. IPTT'!$C$3,"",IFERROR(IF(COUNT('13. Budget Tracker'!F16:Q16)=0,"",LOOKUP(2,1/('13. Budget Tracker'!F16:Q16&lt;&gt;""),'13. Budget Tracker'!F16:Q16)),""))</f>
        <v/>
      </c>
      <c r="I16" s="83" t="str">
        <f aca="false">IF(5&gt;'7. IPTT'!$C$3,"",IFERROR(IF(COUNT('13. Budget Tracker'!F16:T16)=0,"",LOOKUP(2,1/('13. Budget Tracker'!F16:T16&lt;&gt;""),'13. Budget Tracker'!F16:T16)),""))</f>
        <v/>
      </c>
      <c r="J16" s="83" t="str">
        <f aca="false">IF(6&gt;'7. IPTT'!$C$3,"",IFERROR(IF(COUNT('13. Budget Tracker'!F16:W16)=0,"",LOOKUP(2,1/('13. Budget Tracker'!F16:W16&lt;&gt;""),'13. Budget Tracker'!F16:W16)),""))</f>
        <v/>
      </c>
      <c r="K16" s="83" t="str">
        <f aca="false">IF(7&gt;'7. IPTT'!$C$3,"",IFERROR(IF(COUNT('13. Budget Tracker'!F16:Z16)=0,"",LOOKUP(2,1/('13. Budget Tracker'!F16:Z16&lt;&gt;""),'13. Budget Tracker'!F16:Z16)),""))</f>
        <v/>
      </c>
      <c r="L16" s="83" t="str">
        <f aca="false">IF(8&gt;'7. IPTT'!$C$3,"",IFERROR(IF(COUNT('13. Budget Tracker'!F16:AC16)=0,"",LOOKUP(2,1/('13. Budget Tracker'!F16:AC16&lt;&gt;""),'13. Budget Tracker'!F16:AC16)),""))</f>
        <v/>
      </c>
      <c r="M16" s="83" t="n">
        <f aca="false">'13. Budget Tracker'!AD16</f>
        <v>0</v>
      </c>
      <c r="N16" s="68" t="n">
        <f aca="false">IFERROR(IF(D16=0,"",M16/D16),"")</f>
        <v>0</v>
      </c>
    </row>
    <row r="17" customFormat="false" ht="21.75" hidden="false" customHeight="true" outlineLevel="0" collapsed="false">
      <c r="B17" s="22" t="s">
        <v>1656</v>
      </c>
      <c r="C17" s="16" t="s">
        <v>1657</v>
      </c>
      <c r="D17" s="83" t="n">
        <f aca="false">'13. Budget Tracker'!D17</f>
        <v>19514848</v>
      </c>
      <c r="E17" s="83" t="str">
        <f aca="false">IF(1&gt;'7. IPTT'!$C$3,"",IFERROR(IF(COUNT('13. Budget Tracker'!F17:H17)=0,"",LOOKUP(2,1/('13. Budget Tracker'!F17:H17&lt;&gt;""),'13. Budget Tracker'!F17:H17)),""))</f>
        <v/>
      </c>
      <c r="F17" s="83" t="str">
        <f aca="false">IF(2&gt;'7. IPTT'!$C$3,"",IFERROR(IF(COUNT('13. Budget Tracker'!F17:K17)=0,"",LOOKUP(2,1/('13. Budget Tracker'!F17:K17&lt;&gt;""),'13. Budget Tracker'!F17:K17)),""))</f>
        <v/>
      </c>
      <c r="G17" s="83" t="str">
        <f aca="false">IF(3&gt;'7. IPTT'!$C$3,"",IFERROR(IF(COUNT('13. Budget Tracker'!F17:N17)=0,"",LOOKUP(2,1/('13. Budget Tracker'!F17:N17&lt;&gt;""),'13. Budget Tracker'!F17:N17)),""))</f>
        <v/>
      </c>
      <c r="H17" s="83" t="str">
        <f aca="false">IF(4&gt;'7. IPTT'!$C$3,"",IFERROR(IF(COUNT('13. Budget Tracker'!F17:Q17)=0,"",LOOKUP(2,1/('13. Budget Tracker'!F17:Q17&lt;&gt;""),'13. Budget Tracker'!F17:Q17)),""))</f>
        <v/>
      </c>
      <c r="I17" s="83" t="str">
        <f aca="false">IF(5&gt;'7. IPTT'!$C$3,"",IFERROR(IF(COUNT('13. Budget Tracker'!F17:T17)=0,"",LOOKUP(2,1/('13. Budget Tracker'!F17:T17&lt;&gt;""),'13. Budget Tracker'!F17:T17)),""))</f>
        <v/>
      </c>
      <c r="J17" s="83" t="str">
        <f aca="false">IF(6&gt;'7. IPTT'!$C$3,"",IFERROR(IF(COUNT('13. Budget Tracker'!F17:W17)=0,"",LOOKUP(2,1/('13. Budget Tracker'!F17:W17&lt;&gt;""),'13. Budget Tracker'!F17:W17)),""))</f>
        <v/>
      </c>
      <c r="K17" s="83" t="str">
        <f aca="false">IF(7&gt;'7. IPTT'!$C$3,"",IFERROR(IF(COUNT('13. Budget Tracker'!F17:Z17)=0,"",LOOKUP(2,1/('13. Budget Tracker'!F17:Z17&lt;&gt;""),'13. Budget Tracker'!F17:Z17)),""))</f>
        <v/>
      </c>
      <c r="L17" s="83" t="str">
        <f aca="false">IF(8&gt;'7. IPTT'!$C$3,"",IFERROR(IF(COUNT('13. Budget Tracker'!F17:AC17)=0,"",LOOKUP(2,1/('13. Budget Tracker'!F17:AC17&lt;&gt;""),'13. Budget Tracker'!F17:AC17)),""))</f>
        <v/>
      </c>
      <c r="M17" s="83" t="n">
        <f aca="false">'13. Budget Tracker'!AD17</f>
        <v>0</v>
      </c>
      <c r="N17" s="68" t="n">
        <f aca="false">IFERROR(IF(D17=0,"",M17/D17),"")</f>
        <v>0</v>
      </c>
    </row>
    <row r="18" customFormat="false" ht="21.75" hidden="false" customHeight="true" outlineLevel="0" collapsed="false">
      <c r="B18" s="22" t="s">
        <v>1658</v>
      </c>
      <c r="C18" s="16" t="s">
        <v>1659</v>
      </c>
      <c r="D18" s="83" t="n">
        <f aca="false">'13. Budget Tracker'!D18</f>
        <v>5494500</v>
      </c>
      <c r="E18" s="83" t="str">
        <f aca="false">IF(1&gt;'7. IPTT'!$C$3,"",IFERROR(IF(COUNT('13. Budget Tracker'!F18:H18)=0,"",LOOKUP(2,1/('13. Budget Tracker'!F18:H18&lt;&gt;""),'13. Budget Tracker'!F18:H18)),""))</f>
        <v/>
      </c>
      <c r="F18" s="83" t="str">
        <f aca="false">IF(2&gt;'7. IPTT'!$C$3,"",IFERROR(IF(COUNT('13. Budget Tracker'!F18:K18)=0,"",LOOKUP(2,1/('13. Budget Tracker'!F18:K18&lt;&gt;""),'13. Budget Tracker'!F18:K18)),""))</f>
        <v/>
      </c>
      <c r="G18" s="83" t="str">
        <f aca="false">IF(3&gt;'7. IPTT'!$C$3,"",IFERROR(IF(COUNT('13. Budget Tracker'!F18:N18)=0,"",LOOKUP(2,1/('13. Budget Tracker'!F18:N18&lt;&gt;""),'13. Budget Tracker'!F18:N18)),""))</f>
        <v/>
      </c>
      <c r="H18" s="83" t="str">
        <f aca="false">IF(4&gt;'7. IPTT'!$C$3,"",IFERROR(IF(COUNT('13. Budget Tracker'!F18:Q18)=0,"",LOOKUP(2,1/('13. Budget Tracker'!F18:Q18&lt;&gt;""),'13. Budget Tracker'!F18:Q18)),""))</f>
        <v/>
      </c>
      <c r="I18" s="83" t="str">
        <f aca="false">IF(5&gt;'7. IPTT'!$C$3,"",IFERROR(IF(COUNT('13. Budget Tracker'!F18:T18)=0,"",LOOKUP(2,1/('13. Budget Tracker'!F18:T18&lt;&gt;""),'13. Budget Tracker'!F18:T18)),""))</f>
        <v/>
      </c>
      <c r="J18" s="83" t="str">
        <f aca="false">IF(6&gt;'7. IPTT'!$C$3,"",IFERROR(IF(COUNT('13. Budget Tracker'!F18:W18)=0,"",LOOKUP(2,1/('13. Budget Tracker'!F18:W18&lt;&gt;""),'13. Budget Tracker'!F18:W18)),""))</f>
        <v/>
      </c>
      <c r="K18" s="83" t="str">
        <f aca="false">IF(7&gt;'7. IPTT'!$C$3,"",IFERROR(IF(COUNT('13. Budget Tracker'!F18:Z18)=0,"",LOOKUP(2,1/('13. Budget Tracker'!F18:Z18&lt;&gt;""),'13. Budget Tracker'!F18:Z18)),""))</f>
        <v/>
      </c>
      <c r="L18" s="83" t="str">
        <f aca="false">IF(8&gt;'7. IPTT'!$C$3,"",IFERROR(IF(COUNT('13. Budget Tracker'!F18:AC18)=0,"",LOOKUP(2,1/('13. Budget Tracker'!F18:AC18&lt;&gt;""),'13. Budget Tracker'!F18:AC18)),""))</f>
        <v/>
      </c>
      <c r="M18" s="83" t="n">
        <f aca="false">'13. Budget Tracker'!AD18</f>
        <v>0</v>
      </c>
      <c r="N18" s="68" t="n">
        <f aca="false">IFERROR(IF(D18=0,"",M18/D18),"")</f>
        <v>0</v>
      </c>
    </row>
    <row r="19" customFormat="false" ht="21.75" hidden="false" customHeight="true" outlineLevel="0" collapsed="false">
      <c r="B19" s="22" t="s">
        <v>1660</v>
      </c>
      <c r="C19" s="16" t="s">
        <v>1661</v>
      </c>
      <c r="D19" s="83" t="n">
        <f aca="false">'13. Budget Tracker'!D19</f>
        <v>960500</v>
      </c>
      <c r="E19" s="83" t="str">
        <f aca="false">IF(1&gt;'7. IPTT'!$C$3,"",IFERROR(IF(COUNT('13. Budget Tracker'!F19:H19)=0,"",LOOKUP(2,1/('13. Budget Tracker'!F19:H19&lt;&gt;""),'13. Budget Tracker'!F19:H19)),""))</f>
        <v/>
      </c>
      <c r="F19" s="83" t="str">
        <f aca="false">IF(2&gt;'7. IPTT'!$C$3,"",IFERROR(IF(COUNT('13. Budget Tracker'!F19:K19)=0,"",LOOKUP(2,1/('13. Budget Tracker'!F19:K19&lt;&gt;""),'13. Budget Tracker'!F19:K19)),""))</f>
        <v/>
      </c>
      <c r="G19" s="83" t="str">
        <f aca="false">IF(3&gt;'7. IPTT'!$C$3,"",IFERROR(IF(COUNT('13. Budget Tracker'!F19:N19)=0,"",LOOKUP(2,1/('13. Budget Tracker'!F19:N19&lt;&gt;""),'13. Budget Tracker'!F19:N19)),""))</f>
        <v/>
      </c>
      <c r="H19" s="83" t="str">
        <f aca="false">IF(4&gt;'7. IPTT'!$C$3,"",IFERROR(IF(COUNT('13. Budget Tracker'!F19:Q19)=0,"",LOOKUP(2,1/('13. Budget Tracker'!F19:Q19&lt;&gt;""),'13. Budget Tracker'!F19:Q19)),""))</f>
        <v/>
      </c>
      <c r="I19" s="83" t="str">
        <f aca="false">IF(5&gt;'7. IPTT'!$C$3,"",IFERROR(IF(COUNT('13. Budget Tracker'!F19:T19)=0,"",LOOKUP(2,1/('13. Budget Tracker'!F19:T19&lt;&gt;""),'13. Budget Tracker'!F19:T19)),""))</f>
        <v/>
      </c>
      <c r="J19" s="83" t="str">
        <f aca="false">IF(6&gt;'7. IPTT'!$C$3,"",IFERROR(IF(COUNT('13. Budget Tracker'!F19:W19)=0,"",LOOKUP(2,1/('13. Budget Tracker'!F19:W19&lt;&gt;""),'13. Budget Tracker'!F19:W19)),""))</f>
        <v/>
      </c>
      <c r="K19" s="83" t="str">
        <f aca="false">IF(7&gt;'7. IPTT'!$C$3,"",IFERROR(IF(COUNT('13. Budget Tracker'!F19:Z19)=0,"",LOOKUP(2,1/('13. Budget Tracker'!F19:Z19&lt;&gt;""),'13. Budget Tracker'!F19:Z19)),""))</f>
        <v/>
      </c>
      <c r="L19" s="83" t="str">
        <f aca="false">IF(8&gt;'7. IPTT'!$C$3,"",IFERROR(IF(COUNT('13. Budget Tracker'!F19:AC19)=0,"",LOOKUP(2,1/('13. Budget Tracker'!F19:AC19&lt;&gt;""),'13. Budget Tracker'!F19:AC19)),""))</f>
        <v/>
      </c>
      <c r="M19" s="83" t="n">
        <f aca="false">'13. Budget Tracker'!AD19</f>
        <v>0</v>
      </c>
      <c r="N19" s="68" t="n">
        <f aca="false">IFERROR(IF(D19=0,"",M19/D19),"")</f>
        <v>0</v>
      </c>
    </row>
    <row r="20" customFormat="false" ht="21.75" hidden="false" customHeight="true" outlineLevel="0" collapsed="false">
      <c r="B20" s="22" t="s">
        <v>1662</v>
      </c>
      <c r="C20" s="16" t="s">
        <v>1663</v>
      </c>
      <c r="D20" s="83" t="n">
        <f aca="false">'13. Budget Tracker'!D20</f>
        <v>1660963.59</v>
      </c>
      <c r="E20" s="83" t="str">
        <f aca="false">IF(1&gt;'7. IPTT'!$C$3,"",IFERROR(IF(COUNT('13. Budget Tracker'!F20:H20)=0,"",LOOKUP(2,1/('13. Budget Tracker'!F20:H20&lt;&gt;""),'13. Budget Tracker'!F20:H20)),""))</f>
        <v/>
      </c>
      <c r="F20" s="83" t="str">
        <f aca="false">IF(2&gt;'7. IPTT'!$C$3,"",IFERROR(IF(COUNT('13. Budget Tracker'!F20:K20)=0,"",LOOKUP(2,1/('13. Budget Tracker'!F20:K20&lt;&gt;""),'13. Budget Tracker'!F20:K20)),""))</f>
        <v/>
      </c>
      <c r="G20" s="83" t="str">
        <f aca="false">IF(3&gt;'7. IPTT'!$C$3,"",IFERROR(IF(COUNT('13. Budget Tracker'!F20:N20)=0,"",LOOKUP(2,1/('13. Budget Tracker'!F20:N20&lt;&gt;""),'13. Budget Tracker'!F20:N20)),""))</f>
        <v/>
      </c>
      <c r="H20" s="83" t="str">
        <f aca="false">IF(4&gt;'7. IPTT'!$C$3,"",IFERROR(IF(COUNT('13. Budget Tracker'!F20:Q20)=0,"",LOOKUP(2,1/('13. Budget Tracker'!F20:Q20&lt;&gt;""),'13. Budget Tracker'!F20:Q20)),""))</f>
        <v/>
      </c>
      <c r="I20" s="83" t="str">
        <f aca="false">IF(5&gt;'7. IPTT'!$C$3,"",IFERROR(IF(COUNT('13. Budget Tracker'!F20:T20)=0,"",LOOKUP(2,1/('13. Budget Tracker'!F20:T20&lt;&gt;""),'13. Budget Tracker'!F20:T20)),""))</f>
        <v/>
      </c>
      <c r="J20" s="83" t="str">
        <f aca="false">IF(6&gt;'7. IPTT'!$C$3,"",IFERROR(IF(COUNT('13. Budget Tracker'!F20:W20)=0,"",LOOKUP(2,1/('13. Budget Tracker'!F20:W20&lt;&gt;""),'13. Budget Tracker'!F20:W20)),""))</f>
        <v/>
      </c>
      <c r="K20" s="83" t="str">
        <f aca="false">IF(7&gt;'7. IPTT'!$C$3,"",IFERROR(IF(COUNT('13. Budget Tracker'!F20:Z20)=0,"",LOOKUP(2,1/('13. Budget Tracker'!F20:Z20&lt;&gt;""),'13. Budget Tracker'!F20:Z20)),""))</f>
        <v/>
      </c>
      <c r="L20" s="83" t="str">
        <f aca="false">IF(8&gt;'7. IPTT'!$C$3,"",IFERROR(IF(COUNT('13. Budget Tracker'!F20:AC20)=0,"",LOOKUP(2,1/('13. Budget Tracker'!F20:AC20&lt;&gt;""),'13. Budget Tracker'!F20:AC20)),""))</f>
        <v/>
      </c>
      <c r="M20" s="83" t="n">
        <f aca="false">'13. Budget Tracker'!AD20</f>
        <v>0</v>
      </c>
      <c r="N20" s="68" t="n">
        <f aca="false">IFERROR(IF(D20=0,"",M20/D20),"")</f>
        <v>0</v>
      </c>
    </row>
  </sheetData>
  <autoFilter ref="B6:N20"/>
  <mergeCells count="8">
    <mergeCell ref="B2:N2"/>
    <mergeCell ref="B3:N3"/>
    <mergeCell ref="B5:B6"/>
    <mergeCell ref="C5:C6"/>
    <mergeCell ref="D5:D6"/>
    <mergeCell ref="E5:L5"/>
    <mergeCell ref="M5:M6"/>
    <mergeCell ref="N5:N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42"/>
    <col collapsed="false" customWidth="true" hidden="false" outlineLevel="0" max="4" min="4" style="0" width="15"/>
    <col collapsed="false" customWidth="true" hidden="false" outlineLevel="0" max="7" min="5" style="0" width="13"/>
    <col collapsed="false" customWidth="true" hidden="false" outlineLevel="0" max="8" min="8" style="0" width="10"/>
    <col collapsed="false" customWidth="true" hidden="false" outlineLevel="0" max="9" min="9" style="0" width="13"/>
  </cols>
  <sheetData>
    <row r="2" customFormat="false" ht="21.75" hidden="false" customHeight="true" outlineLevel="0" collapsed="false">
      <c r="B2" s="12" t="s">
        <v>1668</v>
      </c>
      <c r="C2" s="12"/>
      <c r="D2" s="12"/>
      <c r="E2" s="12"/>
      <c r="F2" s="12"/>
      <c r="G2" s="12"/>
      <c r="H2" s="12"/>
      <c r="I2" s="12"/>
    </row>
    <row r="3" customFormat="false" ht="15" hidden="false" customHeight="true" outlineLevel="0" collapsed="false">
      <c r="B3" s="13" t="s">
        <v>1669</v>
      </c>
      <c r="C3" s="13"/>
      <c r="D3" s="13"/>
      <c r="E3" s="13"/>
      <c r="F3" s="13"/>
      <c r="G3" s="13"/>
      <c r="H3" s="13"/>
      <c r="I3" s="13"/>
    </row>
    <row r="5" customFormat="false" ht="27.75" hidden="false" customHeight="true" outlineLevel="0" collapsed="false">
      <c r="B5" s="15" t="s">
        <v>409</v>
      </c>
      <c r="C5" s="15" t="s">
        <v>1638</v>
      </c>
      <c r="D5" s="15" t="s">
        <v>1670</v>
      </c>
      <c r="E5" s="15" t="s">
        <v>1671</v>
      </c>
      <c r="F5" s="15" t="s">
        <v>1672</v>
      </c>
      <c r="G5" s="15" t="s">
        <v>1673</v>
      </c>
      <c r="H5" s="15" t="s">
        <v>1674</v>
      </c>
      <c r="I5" s="15" t="s">
        <v>1644</v>
      </c>
    </row>
    <row r="6" customFormat="false" ht="21.75" hidden="false" customHeight="true" outlineLevel="0" collapsed="false">
      <c r="B6" s="22" t="s">
        <v>1101</v>
      </c>
      <c r="C6" s="16" t="s">
        <v>1645</v>
      </c>
      <c r="D6" s="73" t="n">
        <f aca="false">'13. Budget Tracker'!E7</f>
        <v>279.72027972028</v>
      </c>
      <c r="E6" s="73" t="n">
        <f aca="false">IFERROR('13b. Budget - Quarterly'!H7/143,0)</f>
        <v>0</v>
      </c>
      <c r="F6" s="73" t="n">
        <f aca="false">IFERROR('13b. Budget - Quarterly'!L7/143,0)</f>
        <v>0</v>
      </c>
      <c r="G6" s="73" t="n">
        <f aca="false">F6</f>
        <v>0</v>
      </c>
      <c r="H6" s="68" t="n">
        <f aca="false">IFERROR(IF(D6=0,"",G6/D6),"")</f>
        <v>0</v>
      </c>
      <c r="I6" s="73" t="n">
        <f aca="false">D6-G6</f>
        <v>279.72027972028</v>
      </c>
    </row>
    <row r="7" customFormat="false" ht="21.75" hidden="false" customHeight="true" outlineLevel="0" collapsed="false">
      <c r="B7" s="22" t="s">
        <v>1125</v>
      </c>
      <c r="C7" s="16" t="s">
        <v>1646</v>
      </c>
      <c r="D7" s="73" t="n">
        <f aca="false">'13. Budget Tracker'!E8</f>
        <v>193693.006993007</v>
      </c>
      <c r="E7" s="73" t="n">
        <f aca="false">IFERROR('13b. Budget - Quarterly'!H8/143,0)</f>
        <v>0</v>
      </c>
      <c r="F7" s="73" t="n">
        <f aca="false">IFERROR('13b. Budget - Quarterly'!L8/143,0)</f>
        <v>0</v>
      </c>
      <c r="G7" s="73" t="n">
        <f aca="false">F7</f>
        <v>0</v>
      </c>
      <c r="H7" s="68" t="n">
        <f aca="false">IFERROR(IF(D7=0,"",G7/D7),"")</f>
        <v>0</v>
      </c>
      <c r="I7" s="73" t="n">
        <f aca="false">D7-G7</f>
        <v>193693.006993007</v>
      </c>
    </row>
    <row r="8" customFormat="false" ht="21.75" hidden="false" customHeight="true" outlineLevel="0" collapsed="false">
      <c r="B8" s="22" t="s">
        <v>1184</v>
      </c>
      <c r="C8" s="16" t="s">
        <v>1647</v>
      </c>
      <c r="D8" s="73" t="n">
        <f aca="false">'13. Budget Tracker'!E9</f>
        <v>17204.4755244755</v>
      </c>
      <c r="E8" s="73" t="n">
        <f aca="false">IFERROR('13b. Budget - Quarterly'!H9/143,0)</f>
        <v>0</v>
      </c>
      <c r="F8" s="73" t="n">
        <f aca="false">IFERROR('13b. Budget - Quarterly'!L9/143,0)</f>
        <v>0</v>
      </c>
      <c r="G8" s="73" t="n">
        <f aca="false">F8</f>
        <v>0</v>
      </c>
      <c r="H8" s="68" t="n">
        <f aca="false">IFERROR(IF(D8=0,"",G8/D8),"")</f>
        <v>0</v>
      </c>
      <c r="I8" s="73" t="n">
        <f aca="false">D8-G8</f>
        <v>17204.4755244755</v>
      </c>
    </row>
    <row r="9" customFormat="false" ht="21.75" hidden="false" customHeight="true" outlineLevel="0" collapsed="false">
      <c r="B9" s="22" t="s">
        <v>1193</v>
      </c>
      <c r="C9" s="16" t="s">
        <v>1648</v>
      </c>
      <c r="D9" s="73" t="n">
        <f aca="false">'13. Budget Tracker'!E10</f>
        <v>8727.27272727273</v>
      </c>
      <c r="E9" s="73" t="n">
        <f aca="false">IFERROR('13b. Budget - Quarterly'!H10/143,0)</f>
        <v>0</v>
      </c>
      <c r="F9" s="73" t="n">
        <f aca="false">IFERROR('13b. Budget - Quarterly'!L10/143,0)</f>
        <v>0</v>
      </c>
      <c r="G9" s="73" t="n">
        <f aca="false">F9</f>
        <v>0</v>
      </c>
      <c r="H9" s="68" t="n">
        <f aca="false">IFERROR(IF(D9=0,"",G9/D9),"")</f>
        <v>0</v>
      </c>
      <c r="I9" s="73" t="n">
        <f aca="false">D9-G9</f>
        <v>8727.27272727273</v>
      </c>
    </row>
    <row r="10" customFormat="false" ht="21.75" hidden="false" customHeight="true" outlineLevel="0" collapsed="false">
      <c r="B10" s="22" t="s">
        <v>1250</v>
      </c>
      <c r="C10" s="16" t="s">
        <v>1649</v>
      </c>
      <c r="D10" s="73" t="n">
        <f aca="false">'13. Budget Tracker'!E11</f>
        <v>7658.46153846154</v>
      </c>
      <c r="E10" s="73" t="n">
        <f aca="false">IFERROR('13b. Budget - Quarterly'!H11/143,0)</f>
        <v>0</v>
      </c>
      <c r="F10" s="73" t="n">
        <f aca="false">IFERROR('13b. Budget - Quarterly'!L11/143,0)</f>
        <v>0</v>
      </c>
      <c r="G10" s="73" t="n">
        <f aca="false">F10</f>
        <v>0</v>
      </c>
      <c r="H10" s="68" t="n">
        <f aca="false">IFERROR(IF(D10=0,"",G10/D10),"")</f>
        <v>0</v>
      </c>
      <c r="I10" s="73" t="n">
        <f aca="false">D10-G10</f>
        <v>7658.46153846154</v>
      </c>
    </row>
    <row r="11" customFormat="false" ht="21.75" hidden="false" customHeight="true" outlineLevel="0" collapsed="false">
      <c r="B11" s="22" t="s">
        <v>300</v>
      </c>
      <c r="C11" s="16" t="s">
        <v>1650</v>
      </c>
      <c r="D11" s="73" t="n">
        <f aca="false">'13. Budget Tracker'!E12</f>
        <v>13727.2727272727</v>
      </c>
      <c r="E11" s="73" t="n">
        <f aca="false">IFERROR('13b. Budget - Quarterly'!H12/143,0)</f>
        <v>0</v>
      </c>
      <c r="F11" s="73" t="n">
        <f aca="false">IFERROR('13b. Budget - Quarterly'!L12/143,0)</f>
        <v>0</v>
      </c>
      <c r="G11" s="73" t="n">
        <f aca="false">F11</f>
        <v>0</v>
      </c>
      <c r="H11" s="68" t="n">
        <f aca="false">IFERROR(IF(D11=0,"",G11/D11),"")</f>
        <v>0</v>
      </c>
      <c r="I11" s="73" t="n">
        <f aca="false">D11-G11</f>
        <v>13727.2727272727</v>
      </c>
    </row>
    <row r="12" customFormat="false" ht="21.75" hidden="false" customHeight="true" outlineLevel="0" collapsed="false">
      <c r="B12" s="22" t="s">
        <v>1651</v>
      </c>
      <c r="C12" s="16" t="s">
        <v>1652</v>
      </c>
      <c r="D12" s="73" t="n">
        <f aca="false">'13. Budget Tracker'!E13</f>
        <v>0</v>
      </c>
      <c r="E12" s="73" t="n">
        <f aca="false">IFERROR('13b. Budget - Quarterly'!H13/143,0)</f>
        <v>0</v>
      </c>
      <c r="F12" s="73" t="n">
        <f aca="false">IFERROR('13b. Budget - Quarterly'!L13/143,0)</f>
        <v>0</v>
      </c>
      <c r="G12" s="73" t="n">
        <f aca="false">F12</f>
        <v>0</v>
      </c>
      <c r="H12" s="68" t="str">
        <f aca="false">IFERROR(IF(D12=0,"",G12/D12),"")</f>
        <v/>
      </c>
      <c r="I12" s="73" t="n">
        <f aca="false">D12-G12</f>
        <v>0</v>
      </c>
    </row>
    <row r="13" customFormat="false" ht="21.75" hidden="false" customHeight="true" outlineLevel="0" collapsed="false">
      <c r="B13" s="22" t="s">
        <v>1300</v>
      </c>
      <c r="C13" s="16" t="s">
        <v>1653</v>
      </c>
      <c r="D13" s="73" t="n">
        <f aca="false">'13. Budget Tracker'!E14</f>
        <v>73117.4825174825</v>
      </c>
      <c r="E13" s="73" t="n">
        <f aca="false">IFERROR('13b. Budget - Quarterly'!H14/143,0)</f>
        <v>0</v>
      </c>
      <c r="F13" s="73" t="n">
        <f aca="false">IFERROR('13b. Budget - Quarterly'!L14/143,0)</f>
        <v>0</v>
      </c>
      <c r="G13" s="73" t="n">
        <f aca="false">F13</f>
        <v>0</v>
      </c>
      <c r="H13" s="68" t="n">
        <f aca="false">IFERROR(IF(D13=0,"",G13/D13),"")</f>
        <v>0</v>
      </c>
      <c r="I13" s="73" t="n">
        <f aca="false">D13-G13</f>
        <v>73117.4825174825</v>
      </c>
    </row>
    <row r="14" customFormat="false" ht="21.75" hidden="false" customHeight="true" outlineLevel="0" collapsed="false">
      <c r="B14" s="22" t="s">
        <v>1332</v>
      </c>
      <c r="C14" s="16" t="s">
        <v>1654</v>
      </c>
      <c r="D14" s="73" t="n">
        <f aca="false">'13. Budget Tracker'!E15</f>
        <v>82676.9230769231</v>
      </c>
      <c r="E14" s="73" t="n">
        <f aca="false">IFERROR('13b. Budget - Quarterly'!H15/143,0)</f>
        <v>0</v>
      </c>
      <c r="F14" s="73" t="n">
        <f aca="false">IFERROR('13b. Budget - Quarterly'!L15/143,0)</f>
        <v>0</v>
      </c>
      <c r="G14" s="73" t="n">
        <f aca="false">F14</f>
        <v>0</v>
      </c>
      <c r="H14" s="68" t="n">
        <f aca="false">IFERROR(IF(D14=0,"",G14/D14),"")</f>
        <v>0</v>
      </c>
      <c r="I14" s="73" t="n">
        <f aca="false">D14-G14</f>
        <v>82676.9230769231</v>
      </c>
    </row>
    <row r="15" customFormat="false" ht="21.75" hidden="false" customHeight="true" outlineLevel="0" collapsed="false">
      <c r="B15" s="22" t="s">
        <v>1361</v>
      </c>
      <c r="C15" s="16" t="s">
        <v>1655</v>
      </c>
      <c r="D15" s="73" t="n">
        <f aca="false">'13. Budget Tracker'!E16</f>
        <v>2064.33566433566</v>
      </c>
      <c r="E15" s="73" t="n">
        <f aca="false">IFERROR('13b. Budget - Quarterly'!H16/143,0)</f>
        <v>0</v>
      </c>
      <c r="F15" s="73" t="n">
        <f aca="false">IFERROR('13b. Budget - Quarterly'!L16/143,0)</f>
        <v>0</v>
      </c>
      <c r="G15" s="73" t="n">
        <f aca="false">F15</f>
        <v>0</v>
      </c>
      <c r="H15" s="68" t="n">
        <f aca="false">IFERROR(IF(D15=0,"",G15/D15),"")</f>
        <v>0</v>
      </c>
      <c r="I15" s="73" t="n">
        <f aca="false">D15-G15</f>
        <v>2064.33566433566</v>
      </c>
    </row>
    <row r="16" customFormat="false" ht="21.75" hidden="false" customHeight="true" outlineLevel="0" collapsed="false">
      <c r="B16" s="22" t="s">
        <v>1656</v>
      </c>
      <c r="C16" s="16" t="s">
        <v>1657</v>
      </c>
      <c r="D16" s="73" t="n">
        <f aca="false">'13. Budget Tracker'!E17</f>
        <v>136467.468531469</v>
      </c>
      <c r="E16" s="73" t="n">
        <f aca="false">IFERROR('13b. Budget - Quarterly'!H17/143,0)</f>
        <v>0</v>
      </c>
      <c r="F16" s="73" t="n">
        <f aca="false">IFERROR('13b. Budget - Quarterly'!L17/143,0)</f>
        <v>0</v>
      </c>
      <c r="G16" s="73" t="n">
        <f aca="false">F16</f>
        <v>0</v>
      </c>
      <c r="H16" s="68" t="n">
        <f aca="false">IFERROR(IF(D16=0,"",G16/D16),"")</f>
        <v>0</v>
      </c>
      <c r="I16" s="73" t="n">
        <f aca="false">D16-G16</f>
        <v>136467.468531469</v>
      </c>
    </row>
    <row r="17" customFormat="false" ht="21.75" hidden="false" customHeight="true" outlineLevel="0" collapsed="false">
      <c r="B17" s="22" t="s">
        <v>1658</v>
      </c>
      <c r="C17" s="16" t="s">
        <v>1659</v>
      </c>
      <c r="D17" s="73" t="n">
        <f aca="false">'13. Budget Tracker'!E18</f>
        <v>38423.0769230769</v>
      </c>
      <c r="E17" s="73" t="n">
        <f aca="false">IFERROR('13b. Budget - Quarterly'!H18/143,0)</f>
        <v>0</v>
      </c>
      <c r="F17" s="73" t="n">
        <f aca="false">IFERROR('13b. Budget - Quarterly'!L18/143,0)</f>
        <v>0</v>
      </c>
      <c r="G17" s="73" t="n">
        <f aca="false">F17</f>
        <v>0</v>
      </c>
      <c r="H17" s="68" t="n">
        <f aca="false">IFERROR(IF(D17=0,"",G17/D17),"")</f>
        <v>0</v>
      </c>
      <c r="I17" s="73" t="n">
        <f aca="false">D17-G17</f>
        <v>38423.0769230769</v>
      </c>
    </row>
    <row r="18" customFormat="false" ht="21.75" hidden="false" customHeight="true" outlineLevel="0" collapsed="false">
      <c r="B18" s="22" t="s">
        <v>1660</v>
      </c>
      <c r="C18" s="16" t="s">
        <v>1661</v>
      </c>
      <c r="D18" s="73" t="n">
        <f aca="false">'13. Budget Tracker'!E19</f>
        <v>6716.78321678322</v>
      </c>
      <c r="E18" s="73" t="n">
        <f aca="false">IFERROR('13b. Budget - Quarterly'!H19/143,0)</f>
        <v>0</v>
      </c>
      <c r="F18" s="73" t="n">
        <f aca="false">IFERROR('13b. Budget - Quarterly'!L19/143,0)</f>
        <v>0</v>
      </c>
      <c r="G18" s="73" t="n">
        <f aca="false">F18</f>
        <v>0</v>
      </c>
      <c r="H18" s="68" t="n">
        <f aca="false">IFERROR(IF(D18=0,"",G18/D18),"")</f>
        <v>0</v>
      </c>
      <c r="I18" s="73" t="n">
        <f aca="false">D18-G18</f>
        <v>6716.78321678322</v>
      </c>
    </row>
    <row r="19" customFormat="false" ht="21.75" hidden="false" customHeight="true" outlineLevel="0" collapsed="false">
      <c r="B19" s="22" t="s">
        <v>1662</v>
      </c>
      <c r="C19" s="16" t="s">
        <v>1663</v>
      </c>
      <c r="D19" s="73" t="n">
        <f aca="false">'13. Budget Tracker'!E20</f>
        <v>11615.13</v>
      </c>
      <c r="E19" s="73" t="n">
        <f aca="false">IFERROR('13b. Budget - Quarterly'!H20/143,0)</f>
        <v>0</v>
      </c>
      <c r="F19" s="73" t="n">
        <f aca="false">IFERROR('13b. Budget - Quarterly'!L20/143,0)</f>
        <v>0</v>
      </c>
      <c r="G19" s="73" t="n">
        <f aca="false">F19</f>
        <v>0</v>
      </c>
      <c r="H19" s="68" t="n">
        <f aca="false">IFERROR(IF(D19=0,"",G19/D19),"")</f>
        <v>0</v>
      </c>
      <c r="I19" s="73" t="n">
        <f aca="false">D19-G19</f>
        <v>11615.13</v>
      </c>
    </row>
    <row r="20" customFormat="false" ht="21.75" hidden="false" customHeight="true" outlineLevel="0" collapsed="false">
      <c r="C20" s="46" t="s">
        <v>1675</v>
      </c>
      <c r="D20" s="86" t="n">
        <f aca="false">SUM(D6:D19)</f>
        <v>592371.40972028</v>
      </c>
      <c r="E20" s="86" t="n">
        <f aca="false">SUM(E6:E19)</f>
        <v>0</v>
      </c>
      <c r="F20" s="86" t="n">
        <f aca="false">SUM(F6:F19)</f>
        <v>0</v>
      </c>
      <c r="G20" s="86" t="n">
        <f aca="false">SUM(G6:G19)</f>
        <v>0</v>
      </c>
      <c r="H20" s="79" t="n">
        <f aca="false">IFERROR(G20/D20,"")</f>
        <v>0</v>
      </c>
      <c r="I20" s="86" t="n">
        <f aca="false">SUM(I6:I19)</f>
        <v>592371.40972028</v>
      </c>
    </row>
    <row r="22" customFormat="false" ht="15" hidden="false" customHeight="true" outlineLevel="0" collapsed="false">
      <c r="B22" s="13" t="s">
        <v>1676</v>
      </c>
      <c r="C22" s="13"/>
      <c r="D22" s="13"/>
      <c r="E22" s="13"/>
      <c r="F22" s="13"/>
      <c r="G22" s="13"/>
      <c r="H22" s="13"/>
      <c r="I22" s="13"/>
    </row>
  </sheetData>
  <autoFilter ref="B5:I19"/>
  <mergeCells count="3">
    <mergeCell ref="B2:I2"/>
    <mergeCell ref="B3:I3"/>
    <mergeCell ref="B22:I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80"/>
  <sheetViews>
    <sheetView showFormulas="false" showGridLines="false" showRowColHeaders="true" showZeros="true" rightToLeft="false" tabSelected="false" showOutlineSymbols="true" defaultGridColor="true" view="normal" topLeftCell="A1" colorId="64" zoomScale="95" zoomScaleNormal="95"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11"/>
    <col collapsed="false" customWidth="true" hidden="false" outlineLevel="0" max="4" min="4" style="0" width="12"/>
    <col collapsed="false" customWidth="true" hidden="false" outlineLevel="0" max="5" min="5" style="0" width="44"/>
    <col collapsed="false" customWidth="true" hidden="false" outlineLevel="0" max="6" min="6" style="0" width="22"/>
    <col collapsed="false" customWidth="true" hidden="false" outlineLevel="0" max="7" min="7" style="0" width="30"/>
    <col collapsed="false" customWidth="true" hidden="false" outlineLevel="0" max="8" min="8" style="0" width="12"/>
    <col collapsed="false" customWidth="true" hidden="false" outlineLevel="0" max="9" min="9" style="0" width="18"/>
    <col collapsed="false" customWidth="true" hidden="false" outlineLevel="0" max="11" min="10" style="0" width="12"/>
  </cols>
  <sheetData>
    <row r="2" customFormat="false" ht="21.75" hidden="false" customHeight="true" outlineLevel="0" collapsed="false">
      <c r="B2" s="12" t="s">
        <v>1677</v>
      </c>
      <c r="C2" s="12"/>
      <c r="D2" s="12"/>
      <c r="E2" s="12"/>
      <c r="F2" s="12"/>
      <c r="G2" s="12"/>
      <c r="H2" s="12"/>
      <c r="I2" s="12"/>
      <c r="J2" s="12"/>
      <c r="K2" s="12"/>
    </row>
    <row r="3" customFormat="false" ht="22.35" hidden="false" customHeight="true" outlineLevel="0" collapsed="false">
      <c r="B3" s="13" t="s">
        <v>1678</v>
      </c>
      <c r="C3" s="13"/>
      <c r="D3" s="13"/>
      <c r="E3" s="13"/>
      <c r="F3" s="13"/>
      <c r="G3" s="13"/>
      <c r="H3" s="13"/>
      <c r="I3" s="13"/>
      <c r="J3" s="13"/>
      <c r="K3" s="13"/>
    </row>
    <row r="5" customFormat="false" ht="24" hidden="false" customHeight="true" outlineLevel="0" collapsed="false">
      <c r="B5" s="15" t="s">
        <v>363</v>
      </c>
      <c r="C5" s="15" t="s">
        <v>591</v>
      </c>
      <c r="D5" s="15" t="s">
        <v>1679</v>
      </c>
      <c r="E5" s="15" t="s">
        <v>1680</v>
      </c>
      <c r="F5" s="15" t="s">
        <v>1681</v>
      </c>
      <c r="G5" s="15" t="s">
        <v>719</v>
      </c>
      <c r="H5" s="15" t="s">
        <v>403</v>
      </c>
      <c r="I5" s="15" t="s">
        <v>151</v>
      </c>
      <c r="J5" s="15" t="s">
        <v>1682</v>
      </c>
      <c r="K5" s="15" t="s">
        <v>1683</v>
      </c>
    </row>
    <row r="6" customFormat="false" ht="33.75" hidden="false" customHeight="true" outlineLevel="0" collapsed="false">
      <c r="B6" s="76" t="s">
        <v>825</v>
      </c>
      <c r="C6" s="76" t="s">
        <v>1101</v>
      </c>
      <c r="D6" s="76" t="s">
        <v>596</v>
      </c>
      <c r="E6" s="17" t="s">
        <v>597</v>
      </c>
      <c r="F6" s="17" t="s">
        <v>1103</v>
      </c>
      <c r="G6" s="17" t="s">
        <v>1104</v>
      </c>
      <c r="H6" s="76" t="s">
        <v>1107</v>
      </c>
      <c r="I6" s="17" t="s">
        <v>197</v>
      </c>
      <c r="J6" s="76" t="s">
        <v>543</v>
      </c>
      <c r="K6" s="76" t="s">
        <v>543</v>
      </c>
    </row>
    <row r="7" customFormat="false" ht="46.5" hidden="false" customHeight="true" outlineLevel="0" collapsed="false">
      <c r="B7" s="22" t="s">
        <v>825</v>
      </c>
      <c r="C7" s="22" t="s">
        <v>1101</v>
      </c>
      <c r="D7" s="22" t="s">
        <v>599</v>
      </c>
      <c r="E7" s="16" t="s">
        <v>600</v>
      </c>
      <c r="F7" s="16" t="s">
        <v>1103</v>
      </c>
      <c r="G7" s="16" t="s">
        <v>1113</v>
      </c>
      <c r="H7" s="22" t="s">
        <v>1114</v>
      </c>
      <c r="I7" s="16" t="s">
        <v>197</v>
      </c>
      <c r="J7" s="22" t="s">
        <v>543</v>
      </c>
      <c r="K7" s="22" t="s">
        <v>543</v>
      </c>
    </row>
    <row r="8" customFormat="false" ht="21.75" hidden="false" customHeight="true" outlineLevel="0" collapsed="false">
      <c r="B8" s="76" t="s">
        <v>825</v>
      </c>
      <c r="C8" s="76" t="s">
        <v>1101</v>
      </c>
      <c r="D8" s="76" t="s">
        <v>601</v>
      </c>
      <c r="E8" s="17" t="s">
        <v>602</v>
      </c>
      <c r="F8" s="17" t="s">
        <v>1103</v>
      </c>
      <c r="G8" s="17" t="s">
        <v>1119</v>
      </c>
      <c r="H8" s="76" t="s">
        <v>1120</v>
      </c>
      <c r="I8" s="17" t="s">
        <v>197</v>
      </c>
      <c r="J8" s="76" t="s">
        <v>543</v>
      </c>
      <c r="K8" s="76" t="s">
        <v>543</v>
      </c>
    </row>
    <row r="9" customFormat="false" ht="21.75" hidden="false" customHeight="true" outlineLevel="0" collapsed="false">
      <c r="B9" s="22" t="s">
        <v>825</v>
      </c>
      <c r="C9" s="22" t="s">
        <v>1125</v>
      </c>
      <c r="D9" s="22" t="s">
        <v>603</v>
      </c>
      <c r="E9" s="16" t="s">
        <v>604</v>
      </c>
      <c r="F9" s="16" t="s">
        <v>1103</v>
      </c>
      <c r="G9" s="16" t="s">
        <v>1126</v>
      </c>
      <c r="H9" s="22" t="s">
        <v>1128</v>
      </c>
      <c r="I9" s="16" t="s">
        <v>197</v>
      </c>
      <c r="J9" s="22" t="s">
        <v>543</v>
      </c>
      <c r="K9" s="22" t="s">
        <v>543</v>
      </c>
    </row>
    <row r="10" customFormat="false" ht="21.75" hidden="false" customHeight="true" outlineLevel="0" collapsed="false">
      <c r="B10" s="76" t="s">
        <v>825</v>
      </c>
      <c r="C10" s="76" t="s">
        <v>1125</v>
      </c>
      <c r="D10" s="76" t="s">
        <v>606</v>
      </c>
      <c r="E10" s="17" t="s">
        <v>607</v>
      </c>
      <c r="F10" s="17" t="s">
        <v>1103</v>
      </c>
      <c r="G10" s="17" t="s">
        <v>1133</v>
      </c>
      <c r="H10" s="76" t="s">
        <v>1128</v>
      </c>
      <c r="I10" s="17" t="s">
        <v>197</v>
      </c>
      <c r="J10" s="76" t="s">
        <v>543</v>
      </c>
      <c r="K10" s="76" t="s">
        <v>543</v>
      </c>
    </row>
    <row r="11" customFormat="false" ht="46.5" hidden="false" customHeight="true" outlineLevel="0" collapsed="false">
      <c r="B11" s="22" t="s">
        <v>825</v>
      </c>
      <c r="C11" s="22" t="s">
        <v>1125</v>
      </c>
      <c r="D11" s="22" t="s">
        <v>608</v>
      </c>
      <c r="E11" s="16" t="s">
        <v>609</v>
      </c>
      <c r="F11" s="16" t="s">
        <v>1103</v>
      </c>
      <c r="G11" s="16" t="s">
        <v>1138</v>
      </c>
      <c r="H11" s="22" t="s">
        <v>1114</v>
      </c>
      <c r="I11" s="16" t="s">
        <v>197</v>
      </c>
      <c r="J11" s="22" t="s">
        <v>543</v>
      </c>
      <c r="K11" s="22" t="s">
        <v>543</v>
      </c>
    </row>
    <row r="12" customFormat="false" ht="21.75" hidden="false" customHeight="true" outlineLevel="0" collapsed="false">
      <c r="B12" s="76" t="s">
        <v>825</v>
      </c>
      <c r="C12" s="76" t="s">
        <v>1125</v>
      </c>
      <c r="D12" s="76" t="s">
        <v>610</v>
      </c>
      <c r="E12" s="17" t="s">
        <v>611</v>
      </c>
      <c r="F12" s="17" t="s">
        <v>1103</v>
      </c>
      <c r="G12" s="17" t="s">
        <v>1144</v>
      </c>
      <c r="H12" s="76" t="s">
        <v>1114</v>
      </c>
      <c r="I12" s="17" t="s">
        <v>197</v>
      </c>
      <c r="J12" s="76" t="s">
        <v>543</v>
      </c>
      <c r="K12" s="76" t="s">
        <v>543</v>
      </c>
    </row>
    <row r="13" customFormat="false" ht="33.75" hidden="false" customHeight="true" outlineLevel="0" collapsed="false">
      <c r="B13" s="22" t="s">
        <v>825</v>
      </c>
      <c r="C13" s="22" t="s">
        <v>1125</v>
      </c>
      <c r="D13" s="22" t="s">
        <v>613</v>
      </c>
      <c r="E13" s="16" t="s">
        <v>614</v>
      </c>
      <c r="F13" s="16" t="s">
        <v>1103</v>
      </c>
      <c r="G13" s="16" t="s">
        <v>1148</v>
      </c>
      <c r="H13" s="22" t="s">
        <v>1114</v>
      </c>
      <c r="I13" s="16" t="s">
        <v>197</v>
      </c>
      <c r="J13" s="22" t="s">
        <v>543</v>
      </c>
      <c r="K13" s="22" t="s">
        <v>543</v>
      </c>
    </row>
    <row r="14" customFormat="false" ht="33.75" hidden="false" customHeight="true" outlineLevel="0" collapsed="false">
      <c r="B14" s="76" t="s">
        <v>825</v>
      </c>
      <c r="C14" s="76" t="s">
        <v>1125</v>
      </c>
      <c r="D14" s="76" t="s">
        <v>615</v>
      </c>
      <c r="E14" s="17" t="s">
        <v>616</v>
      </c>
      <c r="F14" s="17" t="s">
        <v>1103</v>
      </c>
      <c r="G14" s="17" t="s">
        <v>1153</v>
      </c>
      <c r="H14" s="76" t="s">
        <v>1155</v>
      </c>
      <c r="I14" s="17" t="s">
        <v>197</v>
      </c>
      <c r="J14" s="76" t="s">
        <v>543</v>
      </c>
      <c r="K14" s="76" t="s">
        <v>543</v>
      </c>
    </row>
    <row r="15" customFormat="false" ht="21.75" hidden="false" customHeight="true" outlineLevel="0" collapsed="false">
      <c r="B15" s="22" t="s">
        <v>825</v>
      </c>
      <c r="C15" s="22" t="s">
        <v>1125</v>
      </c>
      <c r="D15" s="22" t="s">
        <v>617</v>
      </c>
      <c r="E15" s="16" t="s">
        <v>618</v>
      </c>
      <c r="F15" s="16" t="s">
        <v>1103</v>
      </c>
      <c r="G15" s="16" t="s">
        <v>1160</v>
      </c>
      <c r="H15" s="22" t="s">
        <v>1155</v>
      </c>
      <c r="I15" s="16" t="s">
        <v>197</v>
      </c>
      <c r="J15" s="22" t="s">
        <v>543</v>
      </c>
      <c r="K15" s="22" t="s">
        <v>543</v>
      </c>
    </row>
    <row r="16" customFormat="false" ht="21.75" hidden="false" customHeight="true" outlineLevel="0" collapsed="false">
      <c r="B16" s="76" t="s">
        <v>825</v>
      </c>
      <c r="C16" s="76" t="s">
        <v>1125</v>
      </c>
      <c r="D16" s="76" t="s">
        <v>619</v>
      </c>
      <c r="E16" s="17" t="s">
        <v>620</v>
      </c>
      <c r="F16" s="17" t="s">
        <v>1103</v>
      </c>
      <c r="G16" s="17" t="s">
        <v>1164</v>
      </c>
      <c r="H16" s="76" t="s">
        <v>1155</v>
      </c>
      <c r="I16" s="17" t="s">
        <v>197</v>
      </c>
      <c r="J16" s="76" t="s">
        <v>543</v>
      </c>
      <c r="K16" s="76" t="s">
        <v>543</v>
      </c>
    </row>
    <row r="17" customFormat="false" ht="33.75" hidden="false" customHeight="true" outlineLevel="0" collapsed="false">
      <c r="B17" s="22" t="s">
        <v>825</v>
      </c>
      <c r="C17" s="22" t="s">
        <v>1125</v>
      </c>
      <c r="D17" s="22" t="s">
        <v>621</v>
      </c>
      <c r="E17" s="16" t="s">
        <v>622</v>
      </c>
      <c r="F17" s="16" t="s">
        <v>1103</v>
      </c>
      <c r="G17" s="16" t="s">
        <v>1160</v>
      </c>
      <c r="H17" s="22" t="s">
        <v>1155</v>
      </c>
      <c r="I17" s="16" t="s">
        <v>197</v>
      </c>
      <c r="J17" s="22" t="s">
        <v>543</v>
      </c>
      <c r="K17" s="22" t="s">
        <v>543</v>
      </c>
    </row>
    <row r="18" customFormat="false" ht="21.75" hidden="false" customHeight="true" outlineLevel="0" collapsed="false">
      <c r="B18" s="76" t="s">
        <v>825</v>
      </c>
      <c r="C18" s="76" t="s">
        <v>1125</v>
      </c>
      <c r="D18" s="76" t="s">
        <v>623</v>
      </c>
      <c r="E18" s="17" t="s">
        <v>624</v>
      </c>
      <c r="F18" s="17" t="s">
        <v>1103</v>
      </c>
      <c r="G18" s="17" t="s">
        <v>1175</v>
      </c>
      <c r="H18" s="76" t="s">
        <v>1176</v>
      </c>
      <c r="I18" s="17" t="s">
        <v>197</v>
      </c>
      <c r="J18" s="76" t="s">
        <v>543</v>
      </c>
      <c r="K18" s="76" t="s">
        <v>543</v>
      </c>
    </row>
    <row r="19" customFormat="false" ht="21.75" hidden="false" customHeight="true" outlineLevel="0" collapsed="false">
      <c r="B19" s="22" t="s">
        <v>825</v>
      </c>
      <c r="C19" s="22" t="s">
        <v>1125</v>
      </c>
      <c r="D19" s="22" t="s">
        <v>625</v>
      </c>
      <c r="E19" s="16" t="s">
        <v>626</v>
      </c>
      <c r="F19" s="16" t="s">
        <v>1103</v>
      </c>
      <c r="G19" s="16" t="s">
        <v>1180</v>
      </c>
      <c r="H19" s="22" t="s">
        <v>1176</v>
      </c>
      <c r="I19" s="16" t="s">
        <v>197</v>
      </c>
      <c r="J19" s="22" t="s">
        <v>543</v>
      </c>
      <c r="K19" s="22" t="s">
        <v>543</v>
      </c>
    </row>
    <row r="20" customFormat="false" ht="33.75" hidden="false" customHeight="true" outlineLevel="0" collapsed="false">
      <c r="B20" s="76" t="s">
        <v>825</v>
      </c>
      <c r="C20" s="76" t="s">
        <v>1184</v>
      </c>
      <c r="D20" s="76" t="s">
        <v>627</v>
      </c>
      <c r="E20" s="17" t="s">
        <v>628</v>
      </c>
      <c r="F20" s="17" t="s">
        <v>1103</v>
      </c>
      <c r="G20" s="17" t="s">
        <v>1186</v>
      </c>
      <c r="H20" s="76" t="s">
        <v>1187</v>
      </c>
      <c r="I20" s="17" t="s">
        <v>197</v>
      </c>
      <c r="J20" s="76" t="s">
        <v>543</v>
      </c>
      <c r="K20" s="76" t="s">
        <v>543</v>
      </c>
    </row>
    <row r="21" customFormat="false" ht="33.75" hidden="false" customHeight="true" outlineLevel="0" collapsed="false">
      <c r="B21" s="22" t="s">
        <v>825</v>
      </c>
      <c r="C21" s="22" t="s">
        <v>1193</v>
      </c>
      <c r="D21" s="22" t="s">
        <v>629</v>
      </c>
      <c r="E21" s="16" t="s">
        <v>630</v>
      </c>
      <c r="F21" s="16" t="s">
        <v>1103</v>
      </c>
      <c r="G21" s="16" t="s">
        <v>1195</v>
      </c>
      <c r="H21" s="22" t="s">
        <v>1197</v>
      </c>
      <c r="I21" s="16" t="s">
        <v>197</v>
      </c>
      <c r="J21" s="22" t="s">
        <v>543</v>
      </c>
      <c r="K21" s="22" t="s">
        <v>543</v>
      </c>
    </row>
    <row r="22" customFormat="false" ht="33.75" hidden="false" customHeight="true" outlineLevel="0" collapsed="false">
      <c r="B22" s="76" t="s">
        <v>825</v>
      </c>
      <c r="C22" s="76" t="s">
        <v>1193</v>
      </c>
      <c r="D22" s="76" t="s">
        <v>631</v>
      </c>
      <c r="E22" s="17" t="s">
        <v>632</v>
      </c>
      <c r="F22" s="17" t="s">
        <v>1103</v>
      </c>
      <c r="G22" s="17" t="s">
        <v>1202</v>
      </c>
      <c r="H22" s="76" t="s">
        <v>1197</v>
      </c>
      <c r="I22" s="17" t="s">
        <v>197</v>
      </c>
      <c r="J22" s="76" t="s">
        <v>543</v>
      </c>
      <c r="K22" s="76" t="s">
        <v>543</v>
      </c>
    </row>
    <row r="23" customFormat="false" ht="33.75" hidden="false" customHeight="true" outlineLevel="0" collapsed="false">
      <c r="B23" s="22" t="s">
        <v>825</v>
      </c>
      <c r="C23" s="22" t="s">
        <v>1193</v>
      </c>
      <c r="D23" s="22" t="s">
        <v>633</v>
      </c>
      <c r="E23" s="16" t="s">
        <v>634</v>
      </c>
      <c r="F23" s="16" t="s">
        <v>1103</v>
      </c>
      <c r="G23" s="16" t="s">
        <v>1205</v>
      </c>
      <c r="H23" s="22" t="s">
        <v>1197</v>
      </c>
      <c r="I23" s="16" t="s">
        <v>197</v>
      </c>
      <c r="J23" s="22" t="s">
        <v>543</v>
      </c>
      <c r="K23" s="22" t="s">
        <v>543</v>
      </c>
    </row>
    <row r="24" customFormat="false" ht="33.75" hidden="false" customHeight="true" outlineLevel="0" collapsed="false">
      <c r="B24" s="76" t="s">
        <v>825</v>
      </c>
      <c r="C24" s="76" t="s">
        <v>1193</v>
      </c>
      <c r="D24" s="76" t="s">
        <v>635</v>
      </c>
      <c r="E24" s="17" t="s">
        <v>636</v>
      </c>
      <c r="F24" s="17" t="s">
        <v>1103</v>
      </c>
      <c r="G24" s="17" t="s">
        <v>1208</v>
      </c>
      <c r="H24" s="76" t="s">
        <v>1197</v>
      </c>
      <c r="I24" s="17" t="s">
        <v>197</v>
      </c>
      <c r="J24" s="76" t="s">
        <v>543</v>
      </c>
      <c r="K24" s="76" t="s">
        <v>543</v>
      </c>
    </row>
    <row r="25" customFormat="false" ht="33.75" hidden="false" customHeight="true" outlineLevel="0" collapsed="false">
      <c r="B25" s="22" t="s">
        <v>825</v>
      </c>
      <c r="C25" s="22" t="s">
        <v>1193</v>
      </c>
      <c r="D25" s="22" t="s">
        <v>637</v>
      </c>
      <c r="E25" s="16" t="s">
        <v>638</v>
      </c>
      <c r="F25" s="16" t="s">
        <v>1103</v>
      </c>
      <c r="G25" s="16" t="s">
        <v>1212</v>
      </c>
      <c r="H25" s="22" t="s">
        <v>1197</v>
      </c>
      <c r="I25" s="16" t="s">
        <v>197</v>
      </c>
      <c r="J25" s="22" t="s">
        <v>543</v>
      </c>
      <c r="K25" s="22" t="s">
        <v>543</v>
      </c>
    </row>
    <row r="26" customFormat="false" ht="33.75" hidden="false" customHeight="true" outlineLevel="0" collapsed="false">
      <c r="B26" s="76" t="s">
        <v>825</v>
      </c>
      <c r="C26" s="76" t="s">
        <v>1193</v>
      </c>
      <c r="D26" s="76" t="s">
        <v>639</v>
      </c>
      <c r="E26" s="17" t="s">
        <v>640</v>
      </c>
      <c r="F26" s="17" t="s">
        <v>1103</v>
      </c>
      <c r="G26" s="17" t="s">
        <v>1215</v>
      </c>
      <c r="H26" s="76" t="s">
        <v>1197</v>
      </c>
      <c r="I26" s="17" t="s">
        <v>197</v>
      </c>
      <c r="J26" s="76" t="s">
        <v>543</v>
      </c>
      <c r="K26" s="76" t="s">
        <v>543</v>
      </c>
    </row>
    <row r="27" customFormat="false" ht="33.75" hidden="false" customHeight="true" outlineLevel="0" collapsed="false">
      <c r="B27" s="22" t="s">
        <v>825</v>
      </c>
      <c r="C27" s="22" t="s">
        <v>1193</v>
      </c>
      <c r="D27" s="22" t="s">
        <v>641</v>
      </c>
      <c r="E27" s="16" t="s">
        <v>642</v>
      </c>
      <c r="F27" s="16" t="s">
        <v>1103</v>
      </c>
      <c r="G27" s="16" t="s">
        <v>1220</v>
      </c>
      <c r="H27" s="22" t="s">
        <v>1197</v>
      </c>
      <c r="I27" s="16" t="s">
        <v>197</v>
      </c>
      <c r="J27" s="22" t="s">
        <v>543</v>
      </c>
      <c r="K27" s="22" t="s">
        <v>543</v>
      </c>
    </row>
    <row r="28" customFormat="false" ht="33.75" hidden="false" customHeight="true" outlineLevel="0" collapsed="false">
      <c r="B28" s="76" t="s">
        <v>825</v>
      </c>
      <c r="C28" s="76" t="s">
        <v>1193</v>
      </c>
      <c r="D28" s="76" t="s">
        <v>643</v>
      </c>
      <c r="E28" s="17" t="s">
        <v>644</v>
      </c>
      <c r="F28" s="17" t="s">
        <v>1103</v>
      </c>
      <c r="G28" s="17" t="s">
        <v>1223</v>
      </c>
      <c r="H28" s="76" t="s">
        <v>1197</v>
      </c>
      <c r="I28" s="17" t="s">
        <v>197</v>
      </c>
      <c r="J28" s="76" t="s">
        <v>543</v>
      </c>
      <c r="K28" s="76" t="s">
        <v>543</v>
      </c>
    </row>
    <row r="29" customFormat="false" ht="33.75" hidden="false" customHeight="true" outlineLevel="0" collapsed="false">
      <c r="B29" s="22" t="s">
        <v>825</v>
      </c>
      <c r="C29" s="22" t="s">
        <v>1193</v>
      </c>
      <c r="D29" s="22" t="s">
        <v>645</v>
      </c>
      <c r="E29" s="16" t="s">
        <v>646</v>
      </c>
      <c r="F29" s="16" t="s">
        <v>1103</v>
      </c>
      <c r="G29" s="16" t="s">
        <v>1220</v>
      </c>
      <c r="H29" s="22" t="s">
        <v>1197</v>
      </c>
      <c r="I29" s="16" t="s">
        <v>197</v>
      </c>
      <c r="J29" s="22" t="s">
        <v>543</v>
      </c>
      <c r="K29" s="22" t="s">
        <v>543</v>
      </c>
    </row>
    <row r="30" customFormat="false" ht="33.75" hidden="false" customHeight="true" outlineLevel="0" collapsed="false">
      <c r="B30" s="76" t="s">
        <v>825</v>
      </c>
      <c r="C30" s="76" t="s">
        <v>1193</v>
      </c>
      <c r="D30" s="76" t="s">
        <v>647</v>
      </c>
      <c r="E30" s="17" t="s">
        <v>648</v>
      </c>
      <c r="F30" s="17" t="s">
        <v>1103</v>
      </c>
      <c r="G30" s="17" t="s">
        <v>1230</v>
      </c>
      <c r="H30" s="76" t="s">
        <v>1197</v>
      </c>
      <c r="I30" s="17" t="s">
        <v>649</v>
      </c>
      <c r="J30" s="76" t="s">
        <v>543</v>
      </c>
      <c r="K30" s="76" t="s">
        <v>543</v>
      </c>
    </row>
    <row r="31" customFormat="false" ht="33.75" hidden="false" customHeight="true" outlineLevel="0" collapsed="false">
      <c r="B31" s="22" t="s">
        <v>825</v>
      </c>
      <c r="C31" s="22" t="s">
        <v>1193</v>
      </c>
      <c r="D31" s="22" t="s">
        <v>650</v>
      </c>
      <c r="E31" s="16" t="s">
        <v>651</v>
      </c>
      <c r="F31" s="16" t="s">
        <v>1103</v>
      </c>
      <c r="G31" s="16" t="s">
        <v>1234</v>
      </c>
      <c r="H31" s="22" t="s">
        <v>1197</v>
      </c>
      <c r="I31" s="16" t="s">
        <v>197</v>
      </c>
      <c r="J31" s="22" t="s">
        <v>543</v>
      </c>
      <c r="K31" s="22" t="s">
        <v>543</v>
      </c>
    </row>
    <row r="32" customFormat="false" ht="33.75" hidden="false" customHeight="true" outlineLevel="0" collapsed="false">
      <c r="B32" s="76" t="s">
        <v>825</v>
      </c>
      <c r="C32" s="76" t="s">
        <v>1193</v>
      </c>
      <c r="D32" s="76" t="s">
        <v>652</v>
      </c>
      <c r="E32" s="17" t="s">
        <v>653</v>
      </c>
      <c r="F32" s="17" t="s">
        <v>1103</v>
      </c>
      <c r="G32" s="17" t="s">
        <v>1208</v>
      </c>
      <c r="H32" s="76" t="s">
        <v>1197</v>
      </c>
      <c r="I32" s="17" t="s">
        <v>197</v>
      </c>
      <c r="J32" s="76" t="s">
        <v>543</v>
      </c>
      <c r="K32" s="76" t="s">
        <v>543</v>
      </c>
    </row>
    <row r="33" customFormat="false" ht="33.75" hidden="false" customHeight="true" outlineLevel="0" collapsed="false">
      <c r="B33" s="22" t="s">
        <v>825</v>
      </c>
      <c r="C33" s="22" t="s">
        <v>1193</v>
      </c>
      <c r="D33" s="22" t="s">
        <v>654</v>
      </c>
      <c r="E33" s="16" t="s">
        <v>655</v>
      </c>
      <c r="F33" s="16" t="s">
        <v>1103</v>
      </c>
      <c r="G33" s="16" t="s">
        <v>1238</v>
      </c>
      <c r="H33" s="22" t="s">
        <v>1197</v>
      </c>
      <c r="I33" s="16" t="s">
        <v>197</v>
      </c>
      <c r="J33" s="22" t="s">
        <v>543</v>
      </c>
      <c r="K33" s="22" t="s">
        <v>543</v>
      </c>
    </row>
    <row r="34" customFormat="false" ht="21.75" hidden="false" customHeight="true" outlineLevel="0" collapsed="false">
      <c r="B34" s="76" t="s">
        <v>825</v>
      </c>
      <c r="C34" s="76" t="s">
        <v>1193</v>
      </c>
      <c r="D34" s="76" t="s">
        <v>656</v>
      </c>
      <c r="E34" s="17" t="s">
        <v>657</v>
      </c>
      <c r="F34" s="17" t="s">
        <v>1103</v>
      </c>
      <c r="G34" s="17" t="s">
        <v>1244</v>
      </c>
      <c r="H34" s="76" t="s">
        <v>1197</v>
      </c>
      <c r="I34" s="17" t="s">
        <v>658</v>
      </c>
      <c r="J34" s="76" t="s">
        <v>543</v>
      </c>
      <c r="K34" s="76" t="s">
        <v>543</v>
      </c>
    </row>
    <row r="35" customFormat="false" ht="21.75" hidden="false" customHeight="true" outlineLevel="0" collapsed="false">
      <c r="B35" s="22" t="s">
        <v>825</v>
      </c>
      <c r="C35" s="22" t="s">
        <v>1250</v>
      </c>
      <c r="D35" s="22" t="s">
        <v>659</v>
      </c>
      <c r="E35" s="16" t="s">
        <v>660</v>
      </c>
      <c r="F35" s="16" t="s">
        <v>1103</v>
      </c>
      <c r="G35" s="16" t="s">
        <v>1251</v>
      </c>
      <c r="H35" s="22" t="s">
        <v>1253</v>
      </c>
      <c r="I35" s="16" t="s">
        <v>197</v>
      </c>
      <c r="J35" s="22" t="s">
        <v>543</v>
      </c>
      <c r="K35" s="22" t="s">
        <v>543</v>
      </c>
    </row>
    <row r="36" customFormat="false" ht="21.75" hidden="false" customHeight="true" outlineLevel="0" collapsed="false">
      <c r="B36" s="76" t="s">
        <v>825</v>
      </c>
      <c r="C36" s="76" t="s">
        <v>1250</v>
      </c>
      <c r="D36" s="76" t="s">
        <v>661</v>
      </c>
      <c r="E36" s="17" t="s">
        <v>662</v>
      </c>
      <c r="F36" s="17" t="s">
        <v>1103</v>
      </c>
      <c r="G36" s="17" t="s">
        <v>1258</v>
      </c>
      <c r="H36" s="76" t="s">
        <v>1260</v>
      </c>
      <c r="I36" s="17" t="s">
        <v>197</v>
      </c>
      <c r="J36" s="76" t="s">
        <v>543</v>
      </c>
      <c r="K36" s="76" t="s">
        <v>543</v>
      </c>
    </row>
    <row r="37" customFormat="false" ht="33.75" hidden="false" customHeight="true" outlineLevel="0" collapsed="false">
      <c r="B37" s="22" t="s">
        <v>825</v>
      </c>
      <c r="C37" s="22" t="s">
        <v>1250</v>
      </c>
      <c r="D37" s="22" t="s">
        <v>663</v>
      </c>
      <c r="E37" s="16" t="s">
        <v>664</v>
      </c>
      <c r="F37" s="16" t="s">
        <v>1103</v>
      </c>
      <c r="G37" s="16" t="s">
        <v>1263</v>
      </c>
      <c r="H37" s="22" t="s">
        <v>1260</v>
      </c>
      <c r="I37" s="16" t="s">
        <v>197</v>
      </c>
      <c r="J37" s="22" t="s">
        <v>543</v>
      </c>
      <c r="K37" s="22" t="s">
        <v>543</v>
      </c>
    </row>
    <row r="38" customFormat="false" ht="33.75" hidden="false" customHeight="true" outlineLevel="0" collapsed="false">
      <c r="B38" s="76" t="s">
        <v>941</v>
      </c>
      <c r="C38" s="76" t="s">
        <v>300</v>
      </c>
      <c r="D38" s="76" t="s">
        <v>666</v>
      </c>
      <c r="E38" s="17" t="s">
        <v>667</v>
      </c>
      <c r="F38" s="17" t="s">
        <v>1103</v>
      </c>
      <c r="G38" s="17" t="s">
        <v>1267</v>
      </c>
      <c r="H38" s="76" t="s">
        <v>1197</v>
      </c>
      <c r="I38" s="17" t="s">
        <v>649</v>
      </c>
      <c r="J38" s="76" t="s">
        <v>543</v>
      </c>
      <c r="K38" s="76" t="s">
        <v>543</v>
      </c>
    </row>
    <row r="39" customFormat="false" ht="33.75" hidden="false" customHeight="true" outlineLevel="0" collapsed="false">
      <c r="B39" s="22" t="s">
        <v>941</v>
      </c>
      <c r="C39" s="22" t="s">
        <v>300</v>
      </c>
      <c r="D39" s="22" t="s">
        <v>668</v>
      </c>
      <c r="E39" s="16" t="s">
        <v>669</v>
      </c>
      <c r="F39" s="16" t="s">
        <v>1103</v>
      </c>
      <c r="G39" s="16" t="s">
        <v>1273</v>
      </c>
      <c r="H39" s="22" t="s">
        <v>1114</v>
      </c>
      <c r="I39" s="16" t="s">
        <v>649</v>
      </c>
      <c r="J39" s="22" t="s">
        <v>543</v>
      </c>
      <c r="K39" s="22" t="s">
        <v>543</v>
      </c>
    </row>
    <row r="40" customFormat="false" ht="21.75" hidden="false" customHeight="true" outlineLevel="0" collapsed="false">
      <c r="B40" s="76" t="s">
        <v>941</v>
      </c>
      <c r="C40" s="76" t="s">
        <v>300</v>
      </c>
      <c r="D40" s="76" t="s">
        <v>670</v>
      </c>
      <c r="E40" s="17" t="s">
        <v>671</v>
      </c>
      <c r="F40" s="17" t="s">
        <v>1103</v>
      </c>
      <c r="G40" s="17" t="s">
        <v>1278</v>
      </c>
      <c r="H40" s="76" t="s">
        <v>1279</v>
      </c>
      <c r="I40" s="17" t="s">
        <v>649</v>
      </c>
      <c r="J40" s="76" t="s">
        <v>543</v>
      </c>
      <c r="K40" s="76" t="s">
        <v>543</v>
      </c>
    </row>
    <row r="41" customFormat="false" ht="33.75" hidden="false" customHeight="true" outlineLevel="0" collapsed="false">
      <c r="B41" s="22" t="s">
        <v>941</v>
      </c>
      <c r="C41" s="22" t="s">
        <v>300</v>
      </c>
      <c r="D41" s="22" t="s">
        <v>672</v>
      </c>
      <c r="E41" s="16" t="s">
        <v>673</v>
      </c>
      <c r="F41" s="16" t="s">
        <v>1103</v>
      </c>
      <c r="G41" s="16" t="s">
        <v>1283</v>
      </c>
      <c r="H41" s="22" t="s">
        <v>1114</v>
      </c>
      <c r="I41" s="16" t="s">
        <v>674</v>
      </c>
      <c r="J41" s="22" t="s">
        <v>543</v>
      </c>
      <c r="K41" s="22" t="s">
        <v>543</v>
      </c>
    </row>
    <row r="42" customFormat="false" ht="21.75" hidden="false" customHeight="true" outlineLevel="0" collapsed="false">
      <c r="B42" s="76" t="s">
        <v>941</v>
      </c>
      <c r="C42" s="76" t="s">
        <v>300</v>
      </c>
      <c r="D42" s="76" t="s">
        <v>675</v>
      </c>
      <c r="E42" s="17" t="s">
        <v>676</v>
      </c>
      <c r="F42" s="17" t="s">
        <v>1103</v>
      </c>
      <c r="G42" s="17" t="s">
        <v>1287</v>
      </c>
      <c r="H42" s="76" t="s">
        <v>1197</v>
      </c>
      <c r="I42" s="17" t="s">
        <v>649</v>
      </c>
      <c r="J42" s="76" t="s">
        <v>543</v>
      </c>
      <c r="K42" s="76" t="s">
        <v>543</v>
      </c>
    </row>
    <row r="43" customFormat="false" ht="33.75" hidden="false" customHeight="true" outlineLevel="0" collapsed="false">
      <c r="B43" s="22" t="s">
        <v>941</v>
      </c>
      <c r="C43" s="22" t="s">
        <v>300</v>
      </c>
      <c r="D43" s="22" t="s">
        <v>677</v>
      </c>
      <c r="E43" s="16" t="s">
        <v>678</v>
      </c>
      <c r="F43" s="16" t="s">
        <v>1103</v>
      </c>
      <c r="G43" s="16" t="s">
        <v>1291</v>
      </c>
      <c r="H43" s="22" t="s">
        <v>1128</v>
      </c>
      <c r="I43" s="16" t="s">
        <v>649</v>
      </c>
      <c r="J43" s="22" t="s">
        <v>543</v>
      </c>
      <c r="K43" s="22" t="s">
        <v>543</v>
      </c>
    </row>
    <row r="44" customFormat="false" ht="33.75" hidden="false" customHeight="true" outlineLevel="0" collapsed="false">
      <c r="B44" s="76" t="s">
        <v>941</v>
      </c>
      <c r="C44" s="76" t="s">
        <v>300</v>
      </c>
      <c r="D44" s="76" t="s">
        <v>679</v>
      </c>
      <c r="E44" s="17" t="s">
        <v>680</v>
      </c>
      <c r="F44" s="17" t="s">
        <v>1103</v>
      </c>
      <c r="G44" s="17" t="s">
        <v>1295</v>
      </c>
      <c r="H44" s="76" t="s">
        <v>1197</v>
      </c>
      <c r="I44" s="17" t="s">
        <v>649</v>
      </c>
      <c r="J44" s="76" t="s">
        <v>543</v>
      </c>
      <c r="K44" s="76" t="s">
        <v>543</v>
      </c>
    </row>
    <row r="45" customFormat="false" ht="21.75" hidden="false" customHeight="true" outlineLevel="0" collapsed="false">
      <c r="B45" s="22" t="s">
        <v>941</v>
      </c>
      <c r="C45" s="22" t="s">
        <v>1300</v>
      </c>
      <c r="D45" s="22" t="s">
        <v>681</v>
      </c>
      <c r="E45" s="16" t="s">
        <v>682</v>
      </c>
      <c r="F45" s="16" t="s">
        <v>1103</v>
      </c>
      <c r="G45" s="16" t="s">
        <v>1303</v>
      </c>
      <c r="H45" s="22" t="s">
        <v>1155</v>
      </c>
      <c r="I45" s="16" t="s">
        <v>649</v>
      </c>
      <c r="J45" s="22" t="s">
        <v>543</v>
      </c>
      <c r="K45" s="22" t="s">
        <v>543</v>
      </c>
    </row>
    <row r="46" customFormat="false" ht="33.75" hidden="false" customHeight="true" outlineLevel="0" collapsed="false">
      <c r="B46" s="76" t="s">
        <v>941</v>
      </c>
      <c r="C46" s="76" t="s">
        <v>1300</v>
      </c>
      <c r="D46" s="76" t="s">
        <v>683</v>
      </c>
      <c r="E46" s="17" t="s">
        <v>684</v>
      </c>
      <c r="F46" s="17" t="s">
        <v>1103</v>
      </c>
      <c r="G46" s="17" t="s">
        <v>1309</v>
      </c>
      <c r="H46" s="76" t="s">
        <v>1197</v>
      </c>
      <c r="I46" s="17" t="s">
        <v>649</v>
      </c>
      <c r="J46" s="76" t="s">
        <v>543</v>
      </c>
      <c r="K46" s="76" t="s">
        <v>543</v>
      </c>
    </row>
    <row r="47" customFormat="false" ht="33.75" hidden="false" customHeight="true" outlineLevel="0" collapsed="false">
      <c r="B47" s="22" t="s">
        <v>941</v>
      </c>
      <c r="C47" s="22" t="s">
        <v>1300</v>
      </c>
      <c r="D47" s="22" t="s">
        <v>685</v>
      </c>
      <c r="E47" s="16" t="s">
        <v>686</v>
      </c>
      <c r="F47" s="16" t="s">
        <v>1103</v>
      </c>
      <c r="G47" s="16" t="s">
        <v>1313</v>
      </c>
      <c r="H47" s="22" t="s">
        <v>1260</v>
      </c>
      <c r="I47" s="16" t="s">
        <v>649</v>
      </c>
      <c r="J47" s="22" t="s">
        <v>543</v>
      </c>
      <c r="K47" s="22" t="s">
        <v>543</v>
      </c>
    </row>
    <row r="48" customFormat="false" ht="33.75" hidden="false" customHeight="true" outlineLevel="0" collapsed="false">
      <c r="B48" s="76" t="s">
        <v>941</v>
      </c>
      <c r="C48" s="76" t="s">
        <v>1300</v>
      </c>
      <c r="D48" s="76" t="s">
        <v>687</v>
      </c>
      <c r="E48" s="17" t="s">
        <v>688</v>
      </c>
      <c r="F48" s="17" t="s">
        <v>1103</v>
      </c>
      <c r="G48" s="17" t="s">
        <v>1316</v>
      </c>
      <c r="H48" s="76" t="s">
        <v>1260</v>
      </c>
      <c r="I48" s="17" t="s">
        <v>649</v>
      </c>
      <c r="J48" s="76" t="s">
        <v>543</v>
      </c>
      <c r="K48" s="76" t="s">
        <v>543</v>
      </c>
    </row>
    <row r="49" customFormat="false" ht="33.75" hidden="false" customHeight="true" outlineLevel="0" collapsed="false">
      <c r="B49" s="22" t="s">
        <v>941</v>
      </c>
      <c r="C49" s="22" t="s">
        <v>1300</v>
      </c>
      <c r="D49" s="22" t="s">
        <v>689</v>
      </c>
      <c r="E49" s="16" t="s">
        <v>690</v>
      </c>
      <c r="F49" s="16" t="s">
        <v>1103</v>
      </c>
      <c r="G49" s="16" t="s">
        <v>1322</v>
      </c>
      <c r="H49" s="22" t="s">
        <v>1323</v>
      </c>
      <c r="I49" s="16" t="s">
        <v>649</v>
      </c>
      <c r="J49" s="22" t="s">
        <v>543</v>
      </c>
      <c r="K49" s="22" t="s">
        <v>543</v>
      </c>
    </row>
    <row r="50" customFormat="false" ht="33.75" hidden="false" customHeight="true" outlineLevel="0" collapsed="false">
      <c r="B50" s="76" t="s">
        <v>941</v>
      </c>
      <c r="C50" s="76" t="s">
        <v>1300</v>
      </c>
      <c r="D50" s="76" t="s">
        <v>691</v>
      </c>
      <c r="E50" s="17" t="s">
        <v>692</v>
      </c>
      <c r="F50" s="17" t="s">
        <v>1103</v>
      </c>
      <c r="G50" s="17" t="s">
        <v>1328</v>
      </c>
      <c r="H50" s="76" t="s">
        <v>1260</v>
      </c>
      <c r="I50" s="17" t="s">
        <v>649</v>
      </c>
      <c r="J50" s="76" t="s">
        <v>543</v>
      </c>
      <c r="K50" s="76" t="s">
        <v>543</v>
      </c>
    </row>
    <row r="51" customFormat="false" ht="33.75" hidden="false" customHeight="true" outlineLevel="0" collapsed="false">
      <c r="B51" s="22" t="s">
        <v>941</v>
      </c>
      <c r="C51" s="22" t="s">
        <v>1332</v>
      </c>
      <c r="D51" s="22" t="s">
        <v>693</v>
      </c>
      <c r="E51" s="16" t="s">
        <v>694</v>
      </c>
      <c r="F51" s="16" t="s">
        <v>1103</v>
      </c>
      <c r="G51" s="16" t="s">
        <v>1333</v>
      </c>
      <c r="H51" s="22" t="s">
        <v>1260</v>
      </c>
      <c r="I51" s="16" t="s">
        <v>649</v>
      </c>
      <c r="J51" s="22" t="s">
        <v>543</v>
      </c>
      <c r="K51" s="22" t="s">
        <v>543</v>
      </c>
    </row>
    <row r="52" customFormat="false" ht="21.75" hidden="false" customHeight="true" outlineLevel="0" collapsed="false">
      <c r="B52" s="76" t="s">
        <v>941</v>
      </c>
      <c r="C52" s="76" t="s">
        <v>1332</v>
      </c>
      <c r="D52" s="76" t="s">
        <v>695</v>
      </c>
      <c r="E52" s="17" t="s">
        <v>696</v>
      </c>
      <c r="F52" s="17" t="s">
        <v>1103</v>
      </c>
      <c r="G52" s="17" t="s">
        <v>1338</v>
      </c>
      <c r="H52" s="76" t="s">
        <v>1339</v>
      </c>
      <c r="I52" s="17" t="s">
        <v>649</v>
      </c>
      <c r="J52" s="76" t="s">
        <v>543</v>
      </c>
      <c r="K52" s="76" t="s">
        <v>543</v>
      </c>
    </row>
    <row r="53" customFormat="false" ht="33.75" hidden="false" customHeight="true" outlineLevel="0" collapsed="false">
      <c r="B53" s="22" t="s">
        <v>941</v>
      </c>
      <c r="C53" s="22" t="s">
        <v>1332</v>
      </c>
      <c r="D53" s="22" t="s">
        <v>697</v>
      </c>
      <c r="E53" s="16" t="s">
        <v>698</v>
      </c>
      <c r="F53" s="16" t="s">
        <v>1103</v>
      </c>
      <c r="G53" s="16" t="s">
        <v>1343</v>
      </c>
      <c r="H53" s="22" t="s">
        <v>1344</v>
      </c>
      <c r="I53" s="16" t="s">
        <v>649</v>
      </c>
      <c r="J53" s="22" t="s">
        <v>543</v>
      </c>
      <c r="K53" s="22" t="s">
        <v>543</v>
      </c>
    </row>
    <row r="54" customFormat="false" ht="33.75" hidden="false" customHeight="true" outlineLevel="0" collapsed="false">
      <c r="B54" s="76" t="s">
        <v>941</v>
      </c>
      <c r="C54" s="76" t="s">
        <v>1332</v>
      </c>
      <c r="D54" s="76" t="s">
        <v>699</v>
      </c>
      <c r="E54" s="17" t="s">
        <v>700</v>
      </c>
      <c r="F54" s="17" t="s">
        <v>1103</v>
      </c>
      <c r="G54" s="17" t="s">
        <v>1347</v>
      </c>
      <c r="H54" s="76" t="s">
        <v>1344</v>
      </c>
      <c r="I54" s="17" t="s">
        <v>649</v>
      </c>
      <c r="J54" s="76" t="s">
        <v>543</v>
      </c>
      <c r="K54" s="76" t="s">
        <v>543</v>
      </c>
    </row>
    <row r="55" customFormat="false" ht="33.75" hidden="false" customHeight="true" outlineLevel="0" collapsed="false">
      <c r="B55" s="22" t="s">
        <v>941</v>
      </c>
      <c r="C55" s="22" t="s">
        <v>1332</v>
      </c>
      <c r="D55" s="22" t="s">
        <v>701</v>
      </c>
      <c r="E55" s="16" t="s">
        <v>702</v>
      </c>
      <c r="F55" s="16" t="s">
        <v>1103</v>
      </c>
      <c r="G55" s="16" t="s">
        <v>1350</v>
      </c>
      <c r="H55" s="22" t="s">
        <v>1351</v>
      </c>
      <c r="I55" s="16" t="s">
        <v>649</v>
      </c>
      <c r="J55" s="22" t="s">
        <v>543</v>
      </c>
      <c r="K55" s="22" t="s">
        <v>543</v>
      </c>
    </row>
    <row r="56" customFormat="false" ht="33.75" hidden="false" customHeight="true" outlineLevel="0" collapsed="false">
      <c r="B56" s="76" t="s">
        <v>941</v>
      </c>
      <c r="C56" s="76" t="s">
        <v>1332</v>
      </c>
      <c r="D56" s="76" t="s">
        <v>703</v>
      </c>
      <c r="E56" s="17" t="s">
        <v>704</v>
      </c>
      <c r="F56" s="17" t="s">
        <v>1103</v>
      </c>
      <c r="G56" s="17" t="s">
        <v>1356</v>
      </c>
      <c r="H56" s="76" t="s">
        <v>1323</v>
      </c>
      <c r="I56" s="17" t="s">
        <v>649</v>
      </c>
      <c r="J56" s="76" t="s">
        <v>543</v>
      </c>
      <c r="K56" s="76" t="s">
        <v>543</v>
      </c>
    </row>
    <row r="57" customFormat="false" ht="33.75" hidden="false" customHeight="true" outlineLevel="0" collapsed="false">
      <c r="B57" s="22" t="s">
        <v>941</v>
      </c>
      <c r="C57" s="22" t="s">
        <v>1361</v>
      </c>
      <c r="D57" s="22" t="s">
        <v>705</v>
      </c>
      <c r="E57" s="16" t="s">
        <v>706</v>
      </c>
      <c r="F57" s="16" t="s">
        <v>1103</v>
      </c>
      <c r="G57" s="16" t="s">
        <v>1362</v>
      </c>
      <c r="H57" s="22" t="s">
        <v>1197</v>
      </c>
      <c r="I57" s="16" t="s">
        <v>649</v>
      </c>
      <c r="J57" s="22" t="s">
        <v>543</v>
      </c>
      <c r="K57" s="22" t="s">
        <v>543</v>
      </c>
    </row>
    <row r="58" customFormat="false" ht="33.75" hidden="false" customHeight="true" outlineLevel="0" collapsed="false">
      <c r="B58" s="76" t="s">
        <v>941</v>
      </c>
      <c r="C58" s="76" t="s">
        <v>1361</v>
      </c>
      <c r="D58" s="76" t="s">
        <v>707</v>
      </c>
      <c r="E58" s="17" t="s">
        <v>708</v>
      </c>
      <c r="F58" s="17" t="s">
        <v>1103</v>
      </c>
      <c r="G58" s="17" t="s">
        <v>1366</v>
      </c>
      <c r="H58" s="76" t="s">
        <v>1279</v>
      </c>
      <c r="I58" s="17" t="s">
        <v>658</v>
      </c>
      <c r="J58" s="76" t="s">
        <v>543</v>
      </c>
      <c r="K58" s="76" t="s">
        <v>543</v>
      </c>
    </row>
    <row r="59" customFormat="false" ht="21.75" hidden="false" customHeight="true" outlineLevel="0" collapsed="false">
      <c r="B59" s="22" t="s">
        <v>941</v>
      </c>
      <c r="C59" s="22" t="s">
        <v>1361</v>
      </c>
      <c r="D59" s="22" t="s">
        <v>709</v>
      </c>
      <c r="E59" s="16" t="s">
        <v>710</v>
      </c>
      <c r="F59" s="16" t="s">
        <v>1103</v>
      </c>
      <c r="G59" s="16" t="s">
        <v>1287</v>
      </c>
      <c r="H59" s="22" t="s">
        <v>1197</v>
      </c>
      <c r="I59" s="16" t="s">
        <v>649</v>
      </c>
      <c r="J59" s="22" t="s">
        <v>543</v>
      </c>
      <c r="K59" s="22" t="s">
        <v>543</v>
      </c>
    </row>
    <row r="60" customFormat="false" ht="33.75" hidden="false" customHeight="true" outlineLevel="0" collapsed="false">
      <c r="B60" s="76" t="s">
        <v>941</v>
      </c>
      <c r="C60" s="76" t="s">
        <v>1361</v>
      </c>
      <c r="D60" s="76" t="s">
        <v>711</v>
      </c>
      <c r="E60" s="17" t="s">
        <v>712</v>
      </c>
      <c r="F60" s="17" t="s">
        <v>1103</v>
      </c>
      <c r="G60" s="17" t="s">
        <v>1372</v>
      </c>
      <c r="H60" s="76" t="s">
        <v>1279</v>
      </c>
      <c r="I60" s="17" t="s">
        <v>658</v>
      </c>
      <c r="J60" s="76" t="s">
        <v>543</v>
      </c>
      <c r="K60" s="76" t="s">
        <v>543</v>
      </c>
    </row>
    <row r="61" customFormat="false" ht="21.75" hidden="false" customHeight="true" outlineLevel="0" collapsed="false">
      <c r="B61" s="22" t="s">
        <v>941</v>
      </c>
      <c r="C61" s="22" t="s">
        <v>1361</v>
      </c>
      <c r="D61" s="22" t="s">
        <v>713</v>
      </c>
      <c r="E61" s="16" t="s">
        <v>714</v>
      </c>
      <c r="F61" s="16" t="s">
        <v>1103</v>
      </c>
      <c r="G61" s="16" t="s">
        <v>1376</v>
      </c>
      <c r="H61" s="22" t="s">
        <v>1279</v>
      </c>
      <c r="I61" s="16" t="s">
        <v>658</v>
      </c>
      <c r="J61" s="22" t="s">
        <v>543</v>
      </c>
      <c r="K61" s="22" t="s">
        <v>543</v>
      </c>
    </row>
    <row r="62" customFormat="false" ht="46.5" hidden="false" customHeight="true" outlineLevel="0" collapsed="false">
      <c r="B62" s="76" t="s">
        <v>1381</v>
      </c>
      <c r="C62" s="76" t="s">
        <v>1382</v>
      </c>
      <c r="D62" s="76" t="s">
        <v>1383</v>
      </c>
      <c r="E62" s="17" t="s">
        <v>1384</v>
      </c>
      <c r="F62" s="17" t="s">
        <v>1103</v>
      </c>
      <c r="G62" s="17" t="s">
        <v>1386</v>
      </c>
      <c r="H62" s="76" t="s">
        <v>1387</v>
      </c>
      <c r="I62" s="17" t="s">
        <v>658</v>
      </c>
      <c r="J62" s="76" t="s">
        <v>543</v>
      </c>
      <c r="K62" s="76" t="s">
        <v>543</v>
      </c>
    </row>
    <row r="63" customFormat="false" ht="33.75" hidden="false" customHeight="true" outlineLevel="0" collapsed="false">
      <c r="B63" s="22" t="s">
        <v>1381</v>
      </c>
      <c r="C63" s="22" t="s">
        <v>1382</v>
      </c>
      <c r="D63" s="22" t="s">
        <v>1393</v>
      </c>
      <c r="E63" s="16" t="s">
        <v>1394</v>
      </c>
      <c r="F63" s="16" t="s">
        <v>1103</v>
      </c>
      <c r="G63" s="16" t="s">
        <v>1395</v>
      </c>
      <c r="H63" s="22" t="s">
        <v>1396</v>
      </c>
      <c r="I63" s="16" t="s">
        <v>658</v>
      </c>
      <c r="J63" s="22" t="s">
        <v>543</v>
      </c>
      <c r="K63" s="22" t="s">
        <v>543</v>
      </c>
    </row>
    <row r="64" customFormat="false" ht="33.75" hidden="false" customHeight="true" outlineLevel="0" collapsed="false">
      <c r="B64" s="76" t="s">
        <v>1381</v>
      </c>
      <c r="C64" s="76" t="s">
        <v>1382</v>
      </c>
      <c r="D64" s="76" t="s">
        <v>1401</v>
      </c>
      <c r="E64" s="17" t="s">
        <v>1402</v>
      </c>
      <c r="F64" s="17" t="s">
        <v>1403</v>
      </c>
      <c r="G64" s="17" t="s">
        <v>1404</v>
      </c>
      <c r="H64" s="76" t="s">
        <v>1405</v>
      </c>
      <c r="I64" s="17" t="s">
        <v>658</v>
      </c>
      <c r="J64" s="76" t="s">
        <v>543</v>
      </c>
      <c r="K64" s="76" t="s">
        <v>543</v>
      </c>
    </row>
    <row r="65" customFormat="false" ht="33.75" hidden="false" customHeight="true" outlineLevel="0" collapsed="false">
      <c r="B65" s="22" t="s">
        <v>1381</v>
      </c>
      <c r="C65" s="22" t="s">
        <v>1382</v>
      </c>
      <c r="D65" s="22" t="s">
        <v>1410</v>
      </c>
      <c r="E65" s="16" t="s">
        <v>1411</v>
      </c>
      <c r="F65" s="16" t="s">
        <v>1103</v>
      </c>
      <c r="G65" s="16" t="s">
        <v>1412</v>
      </c>
      <c r="H65" s="22" t="s">
        <v>1413</v>
      </c>
      <c r="I65" s="16" t="s">
        <v>649</v>
      </c>
      <c r="J65" s="22" t="s">
        <v>543</v>
      </c>
      <c r="K65" s="22" t="s">
        <v>543</v>
      </c>
    </row>
    <row r="66" customFormat="false" ht="33.75" hidden="false" customHeight="true" outlineLevel="0" collapsed="false">
      <c r="B66" s="76" t="s">
        <v>1381</v>
      </c>
      <c r="C66" s="76" t="s">
        <v>1382</v>
      </c>
      <c r="D66" s="76" t="s">
        <v>1418</v>
      </c>
      <c r="E66" s="17" t="s">
        <v>1419</v>
      </c>
      <c r="F66" s="17" t="s">
        <v>1103</v>
      </c>
      <c r="G66" s="17" t="s">
        <v>1420</v>
      </c>
      <c r="H66" s="76" t="s">
        <v>1423</v>
      </c>
      <c r="I66" s="17" t="s">
        <v>197</v>
      </c>
      <c r="J66" s="76" t="s">
        <v>543</v>
      </c>
      <c r="K66" s="76" t="s">
        <v>543</v>
      </c>
    </row>
    <row r="67" customFormat="false" ht="21.75" hidden="false" customHeight="true" outlineLevel="0" collapsed="false">
      <c r="B67" s="22" t="s">
        <v>1381</v>
      </c>
      <c r="C67" s="22" t="s">
        <v>1382</v>
      </c>
      <c r="D67" s="22" t="s">
        <v>268</v>
      </c>
      <c r="E67" s="16" t="s">
        <v>1428</v>
      </c>
      <c r="F67" s="16" t="s">
        <v>1103</v>
      </c>
      <c r="G67" s="16" t="s">
        <v>1429</v>
      </c>
      <c r="H67" s="22" t="s">
        <v>1107</v>
      </c>
      <c r="I67" s="16" t="s">
        <v>181</v>
      </c>
      <c r="J67" s="22" t="s">
        <v>543</v>
      </c>
      <c r="K67" s="22" t="s">
        <v>543</v>
      </c>
    </row>
    <row r="68" customFormat="false" ht="33.75" hidden="false" customHeight="true" outlineLevel="0" collapsed="false">
      <c r="B68" s="76" t="s">
        <v>1381</v>
      </c>
      <c r="C68" s="76" t="s">
        <v>1382</v>
      </c>
      <c r="D68" s="76" t="s">
        <v>1434</v>
      </c>
      <c r="E68" s="17" t="s">
        <v>1435</v>
      </c>
      <c r="F68" s="17" t="s">
        <v>1436</v>
      </c>
      <c r="G68" s="17" t="s">
        <v>1437</v>
      </c>
      <c r="H68" s="76" t="s">
        <v>1438</v>
      </c>
      <c r="I68" s="17" t="s">
        <v>658</v>
      </c>
      <c r="J68" s="76" t="s">
        <v>543</v>
      </c>
      <c r="K68" s="76" t="s">
        <v>543</v>
      </c>
    </row>
    <row r="69" customFormat="false" ht="33.75" hidden="false" customHeight="true" outlineLevel="0" collapsed="false">
      <c r="B69" s="22" t="s">
        <v>1381</v>
      </c>
      <c r="C69" s="22" t="s">
        <v>1382</v>
      </c>
      <c r="D69" s="22" t="s">
        <v>1442</v>
      </c>
      <c r="E69" s="16" t="s">
        <v>1443</v>
      </c>
      <c r="F69" s="16" t="s">
        <v>1403</v>
      </c>
      <c r="G69" s="16" t="s">
        <v>1444</v>
      </c>
      <c r="H69" s="22" t="s">
        <v>1445</v>
      </c>
      <c r="I69" s="16" t="s">
        <v>658</v>
      </c>
      <c r="J69" s="22" t="s">
        <v>543</v>
      </c>
      <c r="K69" s="22" t="s">
        <v>543</v>
      </c>
    </row>
    <row r="70" customFormat="false" ht="33.75" hidden="false" customHeight="true" outlineLevel="0" collapsed="false">
      <c r="B70" s="76" t="s">
        <v>1381</v>
      </c>
      <c r="C70" s="76" t="s">
        <v>1382</v>
      </c>
      <c r="D70" s="76" t="s">
        <v>1449</v>
      </c>
      <c r="E70" s="17" t="s">
        <v>1450</v>
      </c>
      <c r="F70" s="17" t="s">
        <v>1103</v>
      </c>
      <c r="G70" s="17" t="s">
        <v>1451</v>
      </c>
      <c r="H70" s="76" t="s">
        <v>1387</v>
      </c>
      <c r="I70" s="17" t="s">
        <v>658</v>
      </c>
      <c r="J70" s="76" t="s">
        <v>543</v>
      </c>
      <c r="K70" s="76" t="s">
        <v>543</v>
      </c>
    </row>
    <row r="71" customFormat="false" ht="33.75" hidden="false" customHeight="true" outlineLevel="0" collapsed="false">
      <c r="B71" s="22" t="s">
        <v>1381</v>
      </c>
      <c r="C71" s="22" t="s">
        <v>1382</v>
      </c>
      <c r="D71" s="22" t="s">
        <v>1455</v>
      </c>
      <c r="E71" s="16" t="s">
        <v>1456</v>
      </c>
      <c r="F71" s="16" t="s">
        <v>1457</v>
      </c>
      <c r="G71" s="16" t="s">
        <v>1458</v>
      </c>
      <c r="H71" s="22" t="s">
        <v>1405</v>
      </c>
      <c r="I71" s="16" t="s">
        <v>658</v>
      </c>
      <c r="J71" s="22" t="s">
        <v>543</v>
      </c>
      <c r="K71" s="22" t="s">
        <v>543</v>
      </c>
    </row>
    <row r="72" customFormat="false" ht="21.75" hidden="false" customHeight="true" outlineLevel="0" collapsed="false">
      <c r="B72" s="76" t="s">
        <v>1381</v>
      </c>
      <c r="C72" s="76" t="s">
        <v>1382</v>
      </c>
      <c r="D72" s="76" t="s">
        <v>1463</v>
      </c>
      <c r="E72" s="17" t="s">
        <v>1464</v>
      </c>
      <c r="F72" s="17" t="s">
        <v>1403</v>
      </c>
      <c r="G72" s="17" t="s">
        <v>1465</v>
      </c>
      <c r="H72" s="76" t="s">
        <v>1466</v>
      </c>
      <c r="I72" s="17" t="s">
        <v>181</v>
      </c>
      <c r="J72" s="76" t="s">
        <v>543</v>
      </c>
      <c r="K72" s="76" t="s">
        <v>543</v>
      </c>
    </row>
    <row r="73" customFormat="false" ht="33.75" hidden="false" customHeight="true" outlineLevel="0" collapsed="false">
      <c r="B73" s="22" t="s">
        <v>1381</v>
      </c>
      <c r="C73" s="22" t="s">
        <v>1382</v>
      </c>
      <c r="D73" s="22" t="s">
        <v>1001</v>
      </c>
      <c r="E73" s="16" t="s">
        <v>1470</v>
      </c>
      <c r="F73" s="16" t="s">
        <v>1103</v>
      </c>
      <c r="G73" s="16" t="s">
        <v>1471</v>
      </c>
      <c r="H73" s="22" t="s">
        <v>1339</v>
      </c>
      <c r="I73" s="16" t="s">
        <v>658</v>
      </c>
      <c r="J73" s="22" t="s">
        <v>543</v>
      </c>
      <c r="K73" s="22" t="s">
        <v>543</v>
      </c>
    </row>
    <row r="74" customFormat="false" ht="33.75" hidden="false" customHeight="true" outlineLevel="0" collapsed="false">
      <c r="B74" s="76" t="s">
        <v>1478</v>
      </c>
      <c r="C74" s="76" t="s">
        <v>1479</v>
      </c>
      <c r="D74" s="76" t="s">
        <v>1480</v>
      </c>
      <c r="E74" s="17" t="s">
        <v>1481</v>
      </c>
      <c r="F74" s="17" t="s">
        <v>1403</v>
      </c>
      <c r="G74" s="17" t="s">
        <v>1482</v>
      </c>
      <c r="H74" s="76" t="s">
        <v>1405</v>
      </c>
      <c r="I74" s="17" t="s">
        <v>658</v>
      </c>
      <c r="J74" s="76" t="s">
        <v>543</v>
      </c>
      <c r="K74" s="76" t="s">
        <v>543</v>
      </c>
    </row>
    <row r="75" customFormat="false" ht="46.5" hidden="false" customHeight="true" outlineLevel="0" collapsed="false">
      <c r="B75" s="22" t="s">
        <v>1478</v>
      </c>
      <c r="C75" s="22" t="s">
        <v>1479</v>
      </c>
      <c r="D75" s="22" t="s">
        <v>1486</v>
      </c>
      <c r="E75" s="16" t="s">
        <v>1487</v>
      </c>
      <c r="F75" s="16" t="s">
        <v>1103</v>
      </c>
      <c r="G75" s="16" t="s">
        <v>1488</v>
      </c>
      <c r="H75" s="22" t="s">
        <v>1423</v>
      </c>
      <c r="I75" s="16" t="s">
        <v>649</v>
      </c>
      <c r="J75" s="22" t="s">
        <v>543</v>
      </c>
      <c r="K75" s="22" t="s">
        <v>543</v>
      </c>
    </row>
    <row r="76" customFormat="false" ht="46.5" hidden="false" customHeight="true" outlineLevel="0" collapsed="false">
      <c r="B76" s="76" t="s">
        <v>1478</v>
      </c>
      <c r="C76" s="76" t="s">
        <v>1479</v>
      </c>
      <c r="D76" s="76" t="s">
        <v>1169</v>
      </c>
      <c r="E76" s="17" t="s">
        <v>1493</v>
      </c>
      <c r="F76" s="17" t="s">
        <v>1103</v>
      </c>
      <c r="G76" s="17" t="s">
        <v>1494</v>
      </c>
      <c r="H76" s="76" t="s">
        <v>1323</v>
      </c>
      <c r="I76" s="17" t="s">
        <v>649</v>
      </c>
      <c r="J76" s="76" t="s">
        <v>543</v>
      </c>
      <c r="K76" s="76" t="s">
        <v>543</v>
      </c>
    </row>
    <row r="77" customFormat="false" ht="60" hidden="false" customHeight="true" outlineLevel="0" collapsed="false">
      <c r="B77" s="22" t="s">
        <v>1478</v>
      </c>
      <c r="C77" s="22" t="s">
        <v>1479</v>
      </c>
      <c r="D77" s="22" t="s">
        <v>1224</v>
      </c>
      <c r="E77" s="16" t="s">
        <v>1499</v>
      </c>
      <c r="F77" s="16" t="s">
        <v>1103</v>
      </c>
      <c r="G77" s="16" t="s">
        <v>1500</v>
      </c>
      <c r="H77" s="22" t="s">
        <v>1501</v>
      </c>
      <c r="I77" s="16" t="s">
        <v>181</v>
      </c>
      <c r="J77" s="22" t="s">
        <v>543</v>
      </c>
      <c r="K77" s="22" t="s">
        <v>543</v>
      </c>
    </row>
    <row r="78" customFormat="false" ht="21.75" hidden="false" customHeight="true" outlineLevel="0" collapsed="false">
      <c r="B78" s="76" t="s">
        <v>1507</v>
      </c>
      <c r="C78" s="76" t="s">
        <v>331</v>
      </c>
      <c r="D78" s="76" t="s">
        <v>1508</v>
      </c>
      <c r="E78" s="17" t="s">
        <v>1509</v>
      </c>
      <c r="F78" s="17" t="s">
        <v>1457</v>
      </c>
      <c r="G78" s="17" t="s">
        <v>1510</v>
      </c>
      <c r="H78" s="76" t="s">
        <v>1466</v>
      </c>
      <c r="I78" s="17" t="s">
        <v>658</v>
      </c>
      <c r="J78" s="76" t="s">
        <v>543</v>
      </c>
      <c r="K78" s="76" t="s">
        <v>543</v>
      </c>
    </row>
    <row r="79" customFormat="false" ht="33.75" hidden="false" customHeight="true" outlineLevel="0" collapsed="false">
      <c r="B79" s="22" t="s">
        <v>1507</v>
      </c>
      <c r="C79" s="22" t="s">
        <v>331</v>
      </c>
      <c r="D79" s="22" t="s">
        <v>1515</v>
      </c>
      <c r="E79" s="16" t="s">
        <v>1516</v>
      </c>
      <c r="F79" s="16" t="s">
        <v>1103</v>
      </c>
      <c r="G79" s="16" t="s">
        <v>1517</v>
      </c>
      <c r="H79" s="22" t="s">
        <v>1518</v>
      </c>
      <c r="I79" s="16" t="s">
        <v>181</v>
      </c>
      <c r="J79" s="22" t="s">
        <v>543</v>
      </c>
      <c r="K79" s="22" t="s">
        <v>543</v>
      </c>
    </row>
    <row r="80" customFormat="false" ht="46.5" hidden="false" customHeight="true" outlineLevel="0" collapsed="false">
      <c r="B80" s="76" t="s">
        <v>1507</v>
      </c>
      <c r="C80" s="76" t="s">
        <v>331</v>
      </c>
      <c r="D80" s="76" t="s">
        <v>1523</v>
      </c>
      <c r="E80" s="17" t="s">
        <v>1524</v>
      </c>
      <c r="F80" s="17" t="s">
        <v>1103</v>
      </c>
      <c r="G80" s="17" t="s">
        <v>1525</v>
      </c>
      <c r="H80" s="76" t="s">
        <v>1526</v>
      </c>
      <c r="I80" s="17" t="s">
        <v>181</v>
      </c>
      <c r="J80" s="76" t="s">
        <v>543</v>
      </c>
      <c r="K80" s="76" t="s">
        <v>543</v>
      </c>
    </row>
  </sheetData>
  <autoFilter ref="B5:K80"/>
  <mergeCells count="2">
    <mergeCell ref="B2:K2"/>
    <mergeCell ref="B3:K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2026-07-11T15:17:14Z</dcterms:created>
  <dc:creator>openpyxl</dc:creator>
  <dc:description/>
  <dc:language>en-US</dc:language>
  <cp:lastModifiedBy/>
  <dcterms:modified xsi:type="dcterms:W3CDTF">2026-07-11T15:17:25Z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